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763292e03c4f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" sheetId="1" r:id="Refa770147f9f4274"/>
    <x:sheet xmlns:r="http://schemas.openxmlformats.org/officeDocument/2006/relationships" name="Employee_Tratado" sheetId="2" r:id="R0bf41bd4e82247e5"/>
    <x:sheet xmlns:r="http://schemas.openxmlformats.org/officeDocument/2006/relationships" name="Department_Location" sheetId="3" r:id="Rdbc724528d5d447a"/>
    <x:sheet xmlns:r="http://schemas.openxmlformats.org/officeDocument/2006/relationships" name="Manager_Summary" sheetId="4" r:id="Rdd351db7b02b442e"/>
    <x:sheet xmlns:r="http://schemas.openxmlformats.org/officeDocument/2006/relationships" name="Project_Hours" sheetId="5" r:id="R5559c1077ab24b57"/>
    <x:sheet xmlns:r="http://schemas.openxmlformats.org/officeDocument/2006/relationships" name="Checks" sheetId="6" r:id="R345528afa9004304"/>
    <x:sheet xmlns:r="http://schemas.openxmlformats.org/officeDocument/2006/relationships" name="Employee_Raw" sheetId="7" r:id="R571e5e436d9e4739"/>
    <x:sheet xmlns:r="http://schemas.openxmlformats.org/officeDocument/2006/relationships" name="Department_Raw" sheetId="8" r:id="Re1950b0753e64fe1"/>
    <x:sheet xmlns:r="http://schemas.openxmlformats.org/officeDocument/2006/relationships" name="Dept_Locations_Raw" sheetId="9" r:id="R1307e41eca7c4322"/>
    <x:sheet xmlns:r="http://schemas.openxmlformats.org/officeDocument/2006/relationships" name="Project_Raw" sheetId="10" r:id="R50a2bc5dcf0e497e"/>
    <x:sheet xmlns:r="http://schemas.openxmlformats.org/officeDocument/2006/relationships" name="Works_On_Raw" sheetId="11" r:id="Ra687e68f0cae4336"/>
    <x:sheet xmlns:r="http://schemas.openxmlformats.org/officeDocument/2006/relationships" name="Dependent_Raw" sheetId="12" r:id="Rb1e77225ea6b43b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$#,##0.00"/>
    <x:numFmt numFmtId="201" formatCode="0.0"/>
    <x:numFmt numFmtId="202" formatCode="$#,##0"/>
  </x:numFmts>
  <x:fonts count="12">
    <x:font>
      <x:sz val="11"/>
      <x:name val="Carlito"/>
    </x:font>
    <x:font>
      <x:b/>
      <x:sz val="22"/>
      <x:color rgb="FFFFFFFF"/>
      <x:name val="Aptos Display"/>
    </x:font>
    <x:font>
      <x:i/>
      <x:sz val="11"/>
      <x:color rgb="FF17324D"/>
      <x:name val="Aptos"/>
    </x:font>
    <x:font>
      <x:b/>
      <x:sz val="10"/>
      <x:color rgb="FFFFFFFF"/>
      <x:name val="Aptos"/>
    </x:font>
    <x:font>
      <x:sz val="10"/>
      <x:color rgb="FF1F2937"/>
      <x:name val="Aptos"/>
    </x:font>
    <x:font>
      <x:b/>
      <x:sz val="11"/>
      <x:color rgb="FFFFFFFF"/>
      <x:name val="Aptos"/>
    </x:font>
    <x:font>
      <x:sz val="11"/>
      <x:color rgb="FF17324D"/>
      <x:name val="Aptos"/>
    </x:font>
    <x:font>
      <x:b/>
      <x:sz val="15"/>
      <x:color rgb="FF0E7490"/>
      <x:name val="Aptos Display"/>
    </x:font>
    <x:font>
      <x:sz val="10"/>
      <x:color rgb="FF1B5E20"/>
      <x:name val="Aptos"/>
    </x:font>
    <x:font>
      <x:b/>
      <x:sz val="22"/>
      <x:color rgb="FFFFFFFF"/>
      <x:name val="Aptos"/>
    </x:font>
    <x:font>
      <x:sz val="11"/>
      <x:name val="Aptos"/>
    </x:font>
    <x:font>
      <x:b/>
      <x:sz val="15"/>
      <x:color rgb="FF0E7490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DDEBF7"/>
      </x:patternFill>
    </x:fill>
    <x:fill>
      <x:patternFill patternType="solid">
        <x:fgColor rgb="FF1F4E78"/>
      </x:patternFill>
    </x:fill>
    <x:fill>
      <x:patternFill patternType="solid">
        <x:fgColor rgb="FFF3F6F9"/>
      </x:patternFill>
    </x:fill>
    <x:fill>
      <x:patternFill patternType="solid">
        <x:fgColor rgb="FFE8F5E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/>
    <x:xf numFmtId="200" fontId="4" fillId="0" borderId="0" xfId="0" applyNumberFormat="1" applyFont="1" applyFill="1" applyBorder="1"/>
    <x:xf numFmtId="201" fontId="4" fillId="0" borderId="0" xfId="0" applyNumberFormat="1" applyFont="1" applyFill="1" applyBorder="1"/>
    <x:xf numFmtId="0" fontId="5" fillId="4" borderId="0" xfId="0" applyNumberFormat="1" applyFont="1" applyFill="1" applyBorder="1"/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7" fillId="5" borderId="0" xfId="0" applyNumberFormat="1" applyFont="1" applyFill="1" applyBorder="1"/>
    <x:xf numFmtId="201" fontId="7" fillId="5" borderId="0" xfId="0" applyNumberFormat="1" applyFont="1" applyFill="1" applyBorder="1"/>
    <x:xf numFmtId="202" fontId="7" fillId="5" borderId="0" xfId="0" applyNumberFormat="1" applyFont="1" applyFill="1" applyBorder="1"/>
    <x:xf numFmtId="0" fontId="0" fillId="6" borderId="0" xfId="0" applyNumberFormat="1" applyFont="1" applyFill="1" applyBorder="1"/>
    <x:xf numFmtId="0" fontId="8" fillId="6" borderId="0" xfId="0" applyNumberFormat="1" applyFont="1" applyFill="1" applyBorder="1"/>
    <x:xf numFmtId="0" fontId="9" fillId="2" borderId="0" xfId="0" applyNumberFormat="1" applyFont="1" applyFill="1" applyBorder="1" applyAlignment="1">
      <x:alignment vertical="center"/>
    </x:xf>
    <x:xf numFmtId="0" fontId="10" fillId="0" borderId="0" xfId="0" applyNumberFormat="1" applyFont="1" applyFill="1" applyBorder="1"/>
    <x:xf numFmtId="0" fontId="11" fillId="5" borderId="0" xfId="0" applyNumberFormat="1" applyFont="1" applyFill="1" applyBorder="1"/>
    <x:xf numFmtId="201" fontId="11" fillId="5" borderId="0" xfId="0" applyNumberFormat="1" applyFont="1" applyFill="1" applyBorder="1"/>
    <x:xf numFmtId="202" fontId="11" fillId="5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f03dc8a4e447d5" /><Relationship Type="http://schemas.openxmlformats.org/officeDocument/2006/relationships/theme" Target="/xl/theme/theme1.xml" Id="Ra786379479794cdd" /><Relationship Type="http://schemas.openxmlformats.org/officeDocument/2006/relationships/sharedStrings" Target="/xl/sharedStrings.xml" Id="R864aad6c670e46b9" /><Relationship Type="http://schemas.openxmlformats.org/officeDocument/2006/relationships/worksheet" Target="/xl/worksheets/sheet1.xml" Id="Refa770147f9f4274" /><Relationship Type="http://schemas.openxmlformats.org/officeDocument/2006/relationships/worksheet" Target="/xl/worksheets/sheet2.xml" Id="R0bf41bd4e82247e5" /><Relationship Type="http://schemas.openxmlformats.org/officeDocument/2006/relationships/worksheet" Target="/xl/worksheets/sheet3.xml" Id="Rdbc724528d5d447a" /><Relationship Type="http://schemas.openxmlformats.org/officeDocument/2006/relationships/worksheet" Target="/xl/worksheets/sheet4.xml" Id="Rdd351db7b02b442e" /><Relationship Type="http://schemas.openxmlformats.org/officeDocument/2006/relationships/worksheet" Target="/xl/worksheets/sheet5.xml" Id="R5559c1077ab24b57" /><Relationship Type="http://schemas.openxmlformats.org/officeDocument/2006/relationships/worksheet" Target="/xl/worksheets/sheet6.xml" Id="R345528afa9004304" /><Relationship Type="http://schemas.openxmlformats.org/officeDocument/2006/relationships/worksheet" Target="/xl/worksheets/sheet7.xml" Id="R571e5e436d9e4739" /><Relationship Type="http://schemas.openxmlformats.org/officeDocument/2006/relationships/worksheet" Target="/xl/worksheets/sheet8.xml" Id="Re1950b0753e64fe1" /><Relationship Type="http://schemas.openxmlformats.org/officeDocument/2006/relationships/worksheet" Target="/xl/worksheets/sheet9.xml" Id="R1307e41eca7c4322" /><Relationship Type="http://schemas.openxmlformats.org/officeDocument/2006/relationships/worksheet" Target="/xl/worksheets/sheet10.xml" Id="R50a2bc5dcf0e497e" /><Relationship Type="http://schemas.openxmlformats.org/officeDocument/2006/relationships/worksheet" Target="/xl/worksheets/sheet11.xml" Id="Ra687e68f0cae4336" /><Relationship Type="http://schemas.openxmlformats.org/officeDocument/2006/relationships/worksheet" Target="/xl/worksheets/sheet12.xml" Id="Rb1e77225ea6b43b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a8891bb912b49e0" /><Relationship Type="http://schemas.openxmlformats.org/officeDocument/2006/relationships/chart" Target="/xl/drawings/charts/chart2.xml" Id="Reb0601f55eaa499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Equipe por gerente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Colaboradores</c:v>
          </c:tx>
          <c:cat>
            <c:strRef>
              <c:f>'Resumo'!$D$6:$D$9</c:f>
              <c:strCache>
                <c:ptCount val="0"/>
              </c:strCache>
            </c:strRef>
          </c:cat>
          <c:val>
            <c:numRef>
              <c:f>'Resumo'!$E$6:$E$9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Horas por projeto</a:t>
            </a:r>
          </a:p>
        </c:rich>
      </c:tx>
      <c:overlay val="0"/>
    </c:title>
    <c:plotArea>
      <c:barChart>
        <c:barDir val="col"/>
        <c:grouping val="clustered"/>
        <c:varyColors val="0"/>
        <c:ser>
          <c:idx val="0"/>
          <c:order val="0"/>
          <c:tx>
            <c:v>Horas</c:v>
          </c:tx>
          <c:cat>
            <c:strRef>
              <c:f>'Resumo'!$D$13:$D$18</c:f>
              <c:strCache>
                <c:ptCount val="0"/>
              </c:strCache>
            </c:strRef>
          </c:cat>
          <c:val>
            <c:numRef>
              <c:f>'Resumo'!$E$13:$E$18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4</xdr:row>
      <xdr:rowOff>0</xdr:rowOff>
    </xdr:from>
    <xdr:to>
      <xdr:col>14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a8891bb912b49e0"/>
        </a:graphicData>
      </a:graphic>
    </xdr:graphicFrame>
    <xdr:clientData/>
  </xdr:twoCellAnchor>
  <xdr:twoCellAnchor>
    <xdr:from>
      <xdr:col>6</xdr:col>
      <xdr:colOff>0</xdr:colOff>
      <xdr:row>17</xdr:row>
      <xdr:rowOff>0</xdr:rowOff>
    </xdr:from>
    <xdr:to>
      <xdr:col>14</xdr:col>
      <xdr:colOff>0</xdr:colOff>
      <xdr:row>32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b0601f55eaa4995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EmployeeTratadoTable" displayName="EmployeeTratadoTable" ref="A1:L9" headerRowCount="1" totalsRowCount="0" totalsRowShown="0">
  <x:tableColumns count="12">
    <x:tableColumn id="1" name="Ssn"/>
    <x:tableColumn id="2" name="Employee_name"/>
    <x:tableColumn id="3" name="Bdate"/>
    <x:tableColumn id="4" name="House_number"/>
    <x:tableColumn id="5" name="Street"/>
    <x:tableColumn id="6" name="City"/>
    <x:tableColumn id="7" name="State"/>
    <x:tableColumn id="8" name="Sex"/>
    <x:tableColumn id="9" name="Salary"/>
    <x:tableColumn id="10" name="Dnumber"/>
    <x:tableColumn id="11" name="Department"/>
    <x:tableColumn id="12" name="Manager_nam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epartmentLocationTable" displayName="DepartmentLocationTable" ref="A1:D6" headerRowCount="1" totalsRowCount="0" totalsRowShown="0">
  <x:tableColumns count="4">
    <x:tableColumn id="1" name="Dnumber"/>
    <x:tableColumn id="2" name="Dname"/>
    <x:tableColumn id="3" name="Dlocation"/>
    <x:tableColumn id="4" name="Department_locati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anagerSummaryTable" displayName="ManagerSummaryTable" ref="A1:B5" headerRowCount="1" totalsRowCount="0" totalsRowShown="0">
  <x:tableColumns count="2">
    <x:tableColumn id="1" name="Manager_name"/>
    <x:tableColumn id="2" name="Employee_count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rojectHoursTable" displayName="ProjectHoursTable" ref="A1:D7" headerRowCount="1" totalsRowCount="0" totalsRowShown="0">
  <x:tableColumns count="4">
    <x:tableColumn id="1" name="Pnumber"/>
    <x:tableColumn id="2" name="Pname"/>
    <x:tableColumn id="3" name="Plocation"/>
    <x:tableColumn id="4" name="Total_hour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hecksTable" displayName="ChecksTable" ref="A1:B4" headerRowCount="1" totalsRowCount="0" totalsRowShown="0">
  <x:tableColumns count="2">
    <x:tableColumn id="1" name="Check_name"/>
    <x:tableColumn id="2" name="Result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EmployeeRawTable" displayName="EmployeeRawTable" ref="A1:J9" headerRowCount="1" totalsRowCount="0" totalsRowShown="0">
  <x:tableColumns count="10">
    <x:tableColumn id="1" name="Fname"/>
    <x:tableColumn id="2" name="Minit"/>
    <x:tableColumn id="3" name="Lname"/>
    <x:tableColumn id="4" name="Ssn"/>
    <x:tableColumn id="5" name="Bdate"/>
    <x:tableColumn id="6" name="Address"/>
    <x:tableColumn id="7" name="Sex"/>
    <x:tableColumn id="8" name="Salary"/>
    <x:tableColumn id="9" name="Super_ssn"/>
    <x:tableColumn id="10" name="Dno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DepartmentRawTable" displayName="DepartmentRawTable" ref="A1:E4" headerRowCount="1" totalsRowCount="0" totalsRowShown="0">
  <x:tableColumns count="5">
    <x:tableColumn id="1" name="Dname"/>
    <x:tableColumn id="2" name="Dnumber"/>
    <x:tableColumn id="3" name="Mgr_ssn"/>
    <x:tableColumn id="4" name="Mgr_start_date"/>
    <x:tableColumn id="5" name="Dept_create_date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DeptLocationsRawTable" displayName="DeptLocationsRawTable" ref="A1:B6" headerRowCount="1" totalsRowCount="0" totalsRowShown="0">
  <x:tableColumns count="2">
    <x:tableColumn id="1" name="Dnumber"/>
    <x:tableColumn id="2" name="Dlocation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ProjectRawTable" displayName="ProjectRawTable" ref="A1:D7" headerRowCount="1" totalsRowCount="0" totalsRowShown="0">
  <x:tableColumns count="4">
    <x:tableColumn id="1" name="Pname"/>
    <x:tableColumn id="2" name="Pnumber"/>
    <x:tableColumn id="3" name="Plocation"/>
    <x:tableColumn id="4" name="Dnum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WorksOnRawTable" displayName="WorksOnRawTable" ref="A1:C17" headerRowCount="1" totalsRowCount="0" totalsRowShown="0">
  <x:tableColumns count="3">
    <x:tableColumn id="1" name="Essn"/>
    <x:tableColumn id="2" name="Pno"/>
    <x:tableColumn id="3" name="Hour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DependentRawTable" displayName="DependentRawTable" ref="A1:E8" headerRowCount="1" totalsRowCount="0" totalsRowShown="0">
  <x:tableColumns count="5">
    <x:tableColumn id="1" name="Essn"/>
    <x:tableColumn id="2" name="Dependent_name"/>
    <x:tableColumn id="3" name="Sex"/>
    <x:tableColumn id="4" name="Bdate"/>
    <x:tableColumn id="5" name="Relationship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6e4a678dcd744a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69eef3555f1493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ad6562570a045d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7d06d4be9b947b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c8b1d4359f143a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fe7387b46a9491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7f04dc6d7e6416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18990a87e614b1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a91665c00e04928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5e9c239ba7c74bd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2ea8a32b0d2f4b9c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2abb5bfeecf34a69" /></Relationships>
</file>

<file path=xl/worksheets/sheet1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4" hidden="0" customWidth="1"/>
    <x:col min="2" max="2" width="18" hidden="0" customWidth="1"/>
    <x:col min="4" max="4" width="22" hidden="0" customWidth="1"/>
    <x:col min="5" max="5" width="14" hidden="0" customWidth="1"/>
  </x:cols>
  <x:sheetData>
    <x:row r="1" ht="15" hidden="0" customHeight="1">
      <x:c r="A1" s="20" t="str">
        <x:v>Company Analytics | Dados tratados</x:v>
      </x:c>
      <x:c r="B1" s="20"/>
      <x:c r="C1" s="20"/>
      <x:c r="D1" s="20"/>
      <x:c r="E1" s="20"/>
      <x:c r="F1" s="20"/>
      <x:c r="G1" s="20"/>
      <x:c r="H1" s="20"/>
      <x:c r="I1" s="21"/>
      <x:c r="J1" s="21"/>
      <x:c r="K1" s="21"/>
      <x:c r="L1" s="21"/>
      <x:c r="M1" s="21"/>
      <x:c r="N1" s="21"/>
    </x:row>
    <x:row r="2" ht="15" hidden="0" customHeight="1">
      <x:c r="A2" s="20"/>
      <x:c r="B2" s="20"/>
      <x:c r="C2" s="20"/>
      <x:c r="D2" s="20"/>
      <x:c r="E2" s="20"/>
      <x:c r="F2" s="20"/>
      <x:c r="G2" s="20"/>
      <x:c r="H2" s="20"/>
      <x:c r="I2" s="21"/>
      <x:c r="J2" s="21"/>
      <x:c r="K2" s="21"/>
      <x:c r="L2" s="21"/>
      <x:c r="M2" s="21"/>
      <x:c r="N2" s="21"/>
    </x:row>
    <x:row r="3" ht="15" hidden="0" customHeight="1">
      <x:c r="A3" s="5" t="str">
        <x:v>Base company • MySQL 8.4 • transformações validadas</x:v>
      </x:c>
      <x:c r="B3" s="5"/>
      <x:c r="C3" s="5"/>
      <x:c r="D3" s="5"/>
      <x:c r="E3" s="5"/>
      <x:c r="F3" s="5"/>
      <x:c r="G3" s="5"/>
      <x:c r="H3" s="5"/>
      <x:c r="I3" s="21"/>
      <x:c r="J3" s="21"/>
      <x:c r="K3" s="21"/>
      <x:c r="L3" s="21"/>
      <x:c r="M3" s="21"/>
      <x:c r="N3" s="21"/>
    </x:row>
    <x:row r="4" ht="15" hidden="0" customHeight="1">
      <x:c r="A4" s="21"/>
      <x:c r="B4" s="21"/>
      <x:c r="C4" s="21"/>
      <x:c r="D4" s="21"/>
      <x:c r="E4" s="21"/>
      <x:c r="F4" s="21"/>
      <x:c r="G4" s="21"/>
      <x:c r="H4" s="21"/>
      <x:c r="I4" s="21"/>
      <x:c r="J4" s="21"/>
      <x:c r="K4" s="21"/>
      <x:c r="L4" s="21"/>
      <x:c r="M4" s="21"/>
      <x:c r="N4" s="21"/>
    </x:row>
    <x:row r="5" ht="15" hidden="0" customHeight="1">
      <x:c r="A5" s="12" t="str">
        <x:v>Indicador</x:v>
      </x:c>
      <x:c r="B5" s="12" t="str">
        <x:v>Valor</x:v>
      </x:c>
      <x:c r="C5" s="21"/>
      <x:c r="D5" s="12" t="str">
        <x:v>Gerente</x:v>
      </x:c>
      <x:c r="E5" s="12" t="str">
        <x:v>Colaboradores</x:v>
      </x:c>
      <x:c r="F5" s="21"/>
      <x:c r="G5" s="21"/>
      <x:c r="H5" s="21"/>
      <x:c r="I5" s="21"/>
      <x:c r="J5" s="21"/>
      <x:c r="K5" s="21"/>
      <x:c r="L5" s="21"/>
      <x:c r="M5" s="21"/>
      <x:c r="N5" s="21"/>
    </x:row>
    <x:row r="6" ht="18" hidden="0" customHeight="1">
      <x:c r="A6" s="14" t="str">
        <x:v>Colaboradores</x:v>
      </x:c>
      <x:c r="B6" s="22" t="n">
        <x:f>COUNTA(Employee_Tratado!A2:A100)</x:f>
        <x:v>8</x:v>
      </x:c>
      <x:c r="C6" s="21"/>
      <x:c r="D6" s="21" t="str">
        <x:f>Manager_Summary!A2</x:f>
        <x:v>Franklin T Wong</x:v>
      </x:c>
      <x:c r="E6" s="21" t="n">
        <x:f>Manager_Summary!B2</x:f>
        <x:v>3</x:v>
      </x:c>
      <x:c r="F6" s="21"/>
      <x:c r="G6" s="21"/>
      <x:c r="H6" s="21"/>
      <x:c r="I6" s="21"/>
      <x:c r="J6" s="21"/>
      <x:c r="K6" s="21"/>
      <x:c r="L6" s="21"/>
      <x:c r="M6" s="21"/>
      <x:c r="N6" s="21"/>
    </x:row>
    <x:row r="7" ht="18" hidden="0" customHeight="1">
      <x:c r="A7" s="14" t="str">
        <x:v>Departamentos</x:v>
      </x:c>
      <x:c r="B7" s="22" t="n">
        <x:f>COUNTA(Department_Raw!A2:A100)</x:f>
        <x:v>3</x:v>
      </x:c>
      <x:c r="C7" s="21"/>
      <x:c r="D7" s="21" t="str">
        <x:f>Manager_Summary!A3</x:f>
        <x:v>James E Borg</x:v>
      </x:c>
      <x:c r="E7" s="21" t="n">
        <x:f>Manager_Summary!B3</x:f>
        <x:v>2</x:v>
      </x:c>
      <x:c r="F7" s="21"/>
      <x:c r="G7" s="21"/>
      <x:c r="H7" s="21"/>
      <x:c r="I7" s="21"/>
      <x:c r="J7" s="21"/>
      <x:c r="K7" s="21"/>
      <x:c r="L7" s="21"/>
      <x:c r="M7" s="21"/>
      <x:c r="N7" s="21"/>
    </x:row>
    <x:row r="8" ht="18" hidden="0" customHeight="1">
      <x:c r="A8" s="14" t="str">
        <x:v>Projetos</x:v>
      </x:c>
      <x:c r="B8" s="22" t="n">
        <x:f>COUNTA(Project_Hours!A2:A100)</x:f>
        <x:v>6</x:v>
      </x:c>
      <x:c r="C8" s="21"/>
      <x:c r="D8" s="21" t="str">
        <x:f>Manager_Summary!A4</x:f>
        <x:v>Jennifer S Wallace</x:v>
      </x:c>
      <x:c r="E8" s="21" t="n">
        <x:f>Manager_Summary!B4</x:f>
        <x:v>2</x:v>
      </x:c>
      <x:c r="F8" s="21"/>
      <x:c r="G8" s="21"/>
      <x:c r="H8" s="21"/>
      <x:c r="I8" s="21"/>
      <x:c r="J8" s="21"/>
      <x:c r="K8" s="21"/>
      <x:c r="L8" s="21"/>
      <x:c r="M8" s="21"/>
      <x:c r="N8" s="21"/>
    </x:row>
    <x:row r="9" ht="18" hidden="0" customHeight="1">
      <x:c r="A9" s="14" t="str">
        <x:v>Horas em projetos</x:v>
      </x:c>
      <x:c r="B9" s="23" t="n">
        <x:f>SUM(Project_Hours!D2:D100)</x:f>
        <x:v>275</x:v>
      </x:c>
      <x:c r="C9" s="21"/>
      <x:c r="D9" s="21" t="str">
        <x:f>Manager_Summary!A5</x:f>
        <x:v>Sem gerente</x:v>
      </x:c>
      <x:c r="E9" s="21" t="n">
        <x:f>Manager_Summary!B5</x:f>
        <x:v>1</x:v>
      </x:c>
      <x:c r="F9" s="21"/>
      <x:c r="G9" s="21"/>
      <x:c r="H9" s="21"/>
      <x:c r="I9" s="21"/>
      <x:c r="J9" s="21"/>
      <x:c r="K9" s="21"/>
      <x:c r="L9" s="21"/>
      <x:c r="M9" s="21"/>
      <x:c r="N9" s="21"/>
    </x:row>
    <x:row r="10" ht="18" hidden="0" customHeight="1">
      <x:c r="A10" s="14" t="str">
        <x:v>Folha salarial</x:v>
      </x:c>
      <x:c r="B10" s="24" t="n">
        <x:f>SUM(Employee_Tratado!I2:I100)</x:f>
        <x:v>281000</x:v>
      </x:c>
      <x:c r="C10" s="21"/>
      <x:c r="D10" s="21"/>
      <x:c r="E10" s="21"/>
      <x:c r="F10" s="21"/>
      <x:c r="G10" s="21"/>
      <x:c r="H10" s="21"/>
      <x:c r="I10" s="21"/>
      <x:c r="J10" s="21"/>
      <x:c r="K10" s="21"/>
      <x:c r="L10" s="21"/>
      <x:c r="M10" s="21"/>
      <x:c r="N10" s="21"/>
    </x:row>
    <x:row r="11" ht="18" hidden="0" customHeight="1">
      <x:c r="A11" s="14" t="str">
        <x:v>Exceções revisadas</x:v>
      </x:c>
      <x:c r="B11" s="22" t="n">
        <x:f>SUM(Checks!B2:B100)</x:f>
        <x:v>1</x:v>
      </x:c>
      <x:c r="C11" s="21"/>
      <x:c r="D11" s="21"/>
      <x:c r="E11" s="21"/>
      <x:c r="F11" s="21"/>
      <x:c r="G11" s="21"/>
      <x:c r="H11" s="21"/>
      <x:c r="I11" s="21"/>
      <x:c r="J11" s="21"/>
      <x:c r="K11" s="21"/>
      <x:c r="L11" s="21"/>
      <x:c r="M11" s="21"/>
      <x:c r="N11" s="21"/>
    </x:row>
    <x:row r="12" ht="15" hidden="0" customHeight="1">
      <x:c r="A12" s="21"/>
      <x:c r="B12" s="21"/>
      <x:c r="C12" s="21"/>
      <x:c r="D12" s="12" t="str">
        <x:v>Projeto</x:v>
      </x:c>
      <x:c r="E12" s="12" t="str">
        <x:v>Horas</x:v>
      </x:c>
      <x:c r="F12" s="21"/>
      <x:c r="G12" s="21"/>
      <x:c r="H12" s="21"/>
      <x:c r="I12" s="21"/>
      <x:c r="J12" s="21"/>
      <x:c r="K12" s="21"/>
      <x:c r="L12" s="21"/>
      <x:c r="M12" s="21"/>
      <x:c r="N12" s="21"/>
    </x:row>
    <x:row r="13" ht="15" hidden="0" customHeight="1">
      <x:c r="A13" s="12" t="str">
        <x:v>Checagem</x:v>
      </x:c>
      <x:c r="B13" s="12" t="str">
        <x:v>Resultado esperado</x:v>
      </x:c>
      <x:c r="C13" s="21"/>
      <x:c r="D13" s="21" t="str">
        <x:f>Project_Hours!B2</x:f>
        <x:v>ProductX</x:v>
      </x:c>
      <x:c r="E13" s="21" t="n">
        <x:f>Project_Hours!D2</x:f>
        <x:v>52.5</x:v>
      </x:c>
      <x:c r="F13" s="21"/>
      <x:c r="G13" s="21"/>
      <x:c r="H13" s="21"/>
      <x:c r="I13" s="21"/>
      <x:c r="J13" s="21"/>
      <x:c r="K13" s="21"/>
      <x:c r="L13" s="21"/>
      <x:c r="M13" s="21"/>
      <x:c r="N13" s="21"/>
    </x:row>
    <x:row r="14" ht="15" hidden="0" customHeight="1">
      <x:c r="A14" s="19" t="str">
        <x:v>Sem gerente</x:v>
      </x:c>
      <x:c r="B14" s="19" t="str">
        <x:v>1 (diretor geral)</x:v>
      </x:c>
      <x:c r="C14" s="21"/>
      <x:c r="D14" s="21" t="str">
        <x:f>Project_Hours!B3</x:f>
        <x:v>ProductY</x:v>
      </x:c>
      <x:c r="E14" s="21" t="n">
        <x:f>Project_Hours!D3</x:f>
        <x:v>37.5</x:v>
      </x:c>
      <x:c r="F14" s="21"/>
      <x:c r="G14" s="21"/>
      <x:c r="H14" s="21"/>
      <x:c r="I14" s="21"/>
      <x:c r="J14" s="21"/>
      <x:c r="K14" s="21"/>
      <x:c r="L14" s="21"/>
      <x:c r="M14" s="21"/>
      <x:c r="N14" s="21"/>
    </x:row>
    <x:row r="15" ht="15" hidden="0" customHeight="1">
      <x:c r="A15" s="19" t="str">
        <x:v>Departamento sem gerente</x:v>
      </x:c>
      <x:c r="B15" s="19" t="str">
        <x:v>0</x:v>
      </x:c>
      <x:c r="C15" s="21"/>
      <x:c r="D15" s="21" t="str">
        <x:f>Project_Hours!B4</x:f>
        <x:v>ProductZ</x:v>
      </x:c>
      <x:c r="E15" s="21" t="n">
        <x:f>Project_Hours!D4</x:f>
        <x:v>50</x:v>
      </x:c>
      <x:c r="F15" s="21"/>
      <x:c r="G15" s="21"/>
      <x:c r="H15" s="21"/>
      <x:c r="I15" s="21"/>
      <x:c r="J15" s="21"/>
      <x:c r="K15" s="21"/>
      <x:c r="L15" s="21"/>
      <x:c r="M15" s="21"/>
      <x:c r="N15" s="21"/>
    </x:row>
    <x:row r="16" ht="15" hidden="0" customHeight="1">
      <x:c r="A16" s="19" t="str">
        <x:v>Horas negativas</x:v>
      </x:c>
      <x:c r="B16" s="19" t="str">
        <x:v>0</x:v>
      </x:c>
      <x:c r="C16" s="21"/>
      <x:c r="D16" s="21" t="str">
        <x:f>Project_Hours!B5</x:f>
        <x:v>Computerization</x:v>
      </x:c>
      <x:c r="E16" s="21" t="n">
        <x:f>Project_Hours!D5</x:f>
        <x:v>55</x:v>
      </x:c>
      <x:c r="F16" s="21"/>
      <x:c r="G16" s="21"/>
      <x:c r="H16" s="21"/>
      <x:c r="I16" s="21"/>
      <x:c r="J16" s="21"/>
      <x:c r="K16" s="21"/>
      <x:c r="L16" s="21"/>
      <x:c r="M16" s="21"/>
      <x:c r="N16" s="21"/>
    </x:row>
    <x:row r="17" ht="15" hidden="0" customHeight="1">
      <x:c r="A17" s="21"/>
      <x:c r="B17" s="21"/>
      <x:c r="C17" s="21"/>
      <x:c r="D17" s="21" t="str">
        <x:f>Project_Hours!B6</x:f>
        <x:v>Reorganization</x:v>
      </x:c>
      <x:c r="E17" s="21" t="n">
        <x:f>Project_Hours!D6</x:f>
        <x:v>25</x:v>
      </x:c>
      <x:c r="F17" s="21"/>
      <x:c r="G17" s="21"/>
      <x:c r="H17" s="21"/>
      <x:c r="I17" s="21"/>
      <x:c r="J17" s="21"/>
      <x:c r="K17" s="21"/>
      <x:c r="L17" s="21"/>
      <x:c r="M17" s="21"/>
      <x:c r="N17" s="21"/>
    </x:row>
    <x:row r="18" ht="15" hidden="0" customHeight="1">
      <x:c r="A18" s="21"/>
      <x:c r="B18" s="21"/>
      <x:c r="C18" s="21"/>
      <x:c r="D18" s="21" t="str">
        <x:f>Project_Hours!B7</x:f>
        <x:v>Newbenefits</x:v>
      </x:c>
      <x:c r="E18" s="21" t="n">
        <x:f>Project_Hours!D7</x:f>
        <x:v>55</x:v>
      </x:c>
      <x:c r="F18" s="21"/>
      <x:c r="G18" s="21"/>
      <x:c r="H18" s="21"/>
      <x:c r="I18" s="21"/>
      <x:c r="J18" s="21"/>
      <x:c r="K18" s="21"/>
      <x:c r="L18" s="21"/>
      <x:c r="M18" s="21"/>
      <x:c r="N18" s="21"/>
    </x:row>
    <x:row r="19" ht="15" hidden="0" customHeight="1">
      <x:c r="A19" s="21"/>
      <x:c r="B19" s="21"/>
      <x:c r="C19" s="21"/>
      <x:c r="D19" s="21"/>
      <x:c r="E19" s="21"/>
      <x:c r="F19" s="21"/>
      <x:c r="G19" s="21"/>
      <x:c r="H19" s="21"/>
      <x:c r="I19" s="21"/>
      <x:c r="J19" s="21"/>
      <x:c r="K19" s="21"/>
      <x:c r="L19" s="21"/>
      <x:c r="M19" s="21"/>
      <x:c r="N19" s="21"/>
    </x:row>
    <x:row r="20" ht="15" hidden="0" customHeight="1">
      <x:c r="A20" s="21"/>
      <x:c r="B20" s="21"/>
      <x:c r="C20" s="21"/>
      <x:c r="D20" s="21"/>
      <x:c r="E20" s="21"/>
      <x:c r="F20" s="21"/>
      <x:c r="G20" s="21"/>
      <x:c r="H20" s="21"/>
      <x:c r="I20" s="21"/>
      <x:c r="J20" s="21"/>
      <x:c r="K20" s="21"/>
      <x:c r="L20" s="21"/>
      <x:c r="M20" s="21"/>
      <x:c r="N20" s="21"/>
    </x:row>
    <x:row r="21" ht="15" hidden="0" customHeight="1">
      <x:c r="A21" s="21"/>
      <x:c r="B21" s="21"/>
      <x:c r="C21" s="21"/>
      <x:c r="D21" s="21"/>
      <x:c r="E21" s="21"/>
      <x:c r="F21" s="21"/>
      <x:c r="G21" s="21"/>
      <x:c r="H21" s="21"/>
      <x:c r="I21" s="21"/>
      <x:c r="J21" s="21"/>
      <x:c r="K21" s="21"/>
      <x:c r="L21" s="21"/>
      <x:c r="M21" s="21"/>
      <x:c r="N21" s="21"/>
    </x:row>
    <x:row r="22" ht="15" hidden="0" customHeight="1">
      <x:c r="A22" s="21"/>
      <x:c r="B22" s="21"/>
      <x:c r="C22" s="21"/>
      <x:c r="D22" s="21"/>
      <x:c r="E22" s="21"/>
      <x:c r="F22" s="21"/>
      <x:c r="G22" s="21"/>
      <x:c r="H22" s="21"/>
      <x:c r="I22" s="21"/>
      <x:c r="J22" s="21"/>
      <x:c r="K22" s="21"/>
      <x:c r="L22" s="21"/>
      <x:c r="M22" s="21"/>
      <x:c r="N22" s="21"/>
    </x:row>
    <x:row r="23" ht="15" hidden="0" customHeight="1">
      <x:c r="A23" s="21"/>
      <x:c r="B23" s="21"/>
      <x:c r="C23" s="21"/>
      <x:c r="D23" s="21"/>
      <x:c r="E23" s="21"/>
      <x:c r="F23" s="21"/>
      <x:c r="G23" s="21"/>
      <x:c r="H23" s="21"/>
      <x:c r="I23" s="21"/>
      <x:c r="J23" s="21"/>
      <x:c r="K23" s="21"/>
      <x:c r="L23" s="21"/>
      <x:c r="M23" s="21"/>
      <x:c r="N23" s="21"/>
    </x:row>
    <x:row r="24" ht="15" hidden="0" customHeight="1">
      <x:c r="A24" s="21"/>
      <x:c r="B24" s="21"/>
      <x:c r="C24" s="21"/>
      <x:c r="D24" s="21"/>
      <x:c r="E24" s="21"/>
      <x:c r="F24" s="21"/>
      <x:c r="G24" s="21"/>
      <x:c r="H24" s="21"/>
      <x:c r="I24" s="21"/>
      <x:c r="J24" s="21"/>
      <x:c r="K24" s="21"/>
      <x:c r="L24" s="21"/>
      <x:c r="M24" s="21"/>
      <x:c r="N24" s="21"/>
    </x:row>
    <x:row r="25" ht="15" hidden="0" customHeight="1">
      <x:c r="A25" s="21"/>
      <x:c r="B25" s="21"/>
      <x:c r="C25" s="21"/>
      <x:c r="D25" s="21"/>
      <x:c r="E25" s="21"/>
      <x:c r="F25" s="21"/>
      <x:c r="G25" s="21"/>
      <x:c r="H25" s="21"/>
      <x:c r="I25" s="21"/>
      <x:c r="J25" s="21"/>
      <x:c r="K25" s="21"/>
      <x:c r="L25" s="21"/>
      <x:c r="M25" s="21"/>
      <x:c r="N25" s="21"/>
    </x:row>
    <x:row r="26" ht="15" hidden="0" customHeight="1">
      <x:c r="A26" s="21"/>
      <x:c r="B26" s="21"/>
      <x:c r="C26" s="21"/>
      <x:c r="D26" s="21"/>
      <x:c r="E26" s="21"/>
      <x:c r="F26" s="21"/>
      <x:c r="G26" s="21"/>
      <x:c r="H26" s="21"/>
      <x:c r="I26" s="21"/>
      <x:c r="J26" s="21"/>
      <x:c r="K26" s="21"/>
      <x:c r="L26" s="21"/>
      <x:c r="M26" s="21"/>
      <x:c r="N26" s="21"/>
    </x:row>
    <x:row r="27" ht="15" hidden="0" customHeight="1">
      <x:c r="A27" s="21"/>
      <x:c r="B27" s="21"/>
      <x:c r="C27" s="21"/>
      <x:c r="D27" s="21"/>
      <x:c r="E27" s="21"/>
      <x:c r="F27" s="21"/>
      <x:c r="G27" s="21"/>
      <x:c r="H27" s="21"/>
      <x:c r="I27" s="21"/>
      <x:c r="J27" s="21"/>
      <x:c r="K27" s="21"/>
      <x:c r="L27" s="21"/>
      <x:c r="M27" s="21"/>
      <x:c r="N27" s="21"/>
    </x:row>
    <x:row r="28" ht="15" hidden="0" customHeight="1">
      <x:c r="A28" s="21"/>
      <x:c r="B28" s="21"/>
      <x:c r="C28" s="21"/>
      <x:c r="D28" s="21"/>
      <x:c r="E28" s="21"/>
      <x:c r="F28" s="21"/>
      <x:c r="G28" s="21"/>
      <x:c r="H28" s="21"/>
      <x:c r="I28" s="21"/>
      <x:c r="J28" s="21"/>
      <x:c r="K28" s="21"/>
      <x:c r="L28" s="21"/>
      <x:c r="M28" s="21"/>
      <x:c r="N28" s="21"/>
    </x:row>
    <x:row r="29" ht="15" hidden="0" customHeight="1">
      <x:c r="A29" s="21"/>
      <x:c r="B29" s="21"/>
      <x:c r="C29" s="21"/>
      <x:c r="D29" s="21"/>
      <x:c r="E29" s="21"/>
      <x:c r="F29" s="21"/>
      <x:c r="G29" s="21"/>
      <x:c r="H29" s="21"/>
      <x:c r="I29" s="21"/>
      <x:c r="J29" s="21"/>
      <x:c r="K29" s="21"/>
      <x:c r="L29" s="21"/>
      <x:c r="M29" s="21"/>
      <x:c r="N29" s="21"/>
    </x:row>
    <x:row r="30" ht="15" hidden="0" customHeight="1">
      <x:c r="A30" s="21"/>
      <x:c r="B30" s="21"/>
      <x:c r="C30" s="21"/>
      <x:c r="D30" s="21"/>
      <x:c r="E30" s="21"/>
      <x:c r="F30" s="21"/>
      <x:c r="G30" s="21"/>
      <x:c r="H30" s="21"/>
      <x:c r="I30" s="21"/>
      <x:c r="J30" s="21"/>
      <x:c r="K30" s="21"/>
      <x:c r="L30" s="21"/>
      <x:c r="M30" s="21"/>
      <x:c r="N30" s="21"/>
    </x:row>
    <x:row r="31" ht="15" hidden="0" customHeight="1">
      <x:c r="A31" s="21"/>
      <x:c r="B31" s="21"/>
      <x:c r="C31" s="21"/>
      <x:c r="D31" s="21"/>
      <x:c r="E31" s="21"/>
      <x:c r="F31" s="21"/>
      <x:c r="G31" s="21"/>
      <x:c r="H31" s="21"/>
      <x:c r="I31" s="21"/>
      <x:c r="J31" s="21"/>
      <x:c r="K31" s="21"/>
      <x:c r="L31" s="21"/>
      <x:c r="M31" s="21"/>
      <x:c r="N31" s="21"/>
    </x:row>
    <x:row r="32" ht="15" hidden="0" customHeight="1">
      <x:c r="A32" s="21"/>
      <x:c r="B32" s="21"/>
      <x:c r="C32" s="21"/>
      <x:c r="D32" s="21"/>
      <x:c r="E32" s="21"/>
      <x:c r="F32" s="21"/>
      <x:c r="G32" s="21"/>
      <x:c r="H32" s="21"/>
      <x:c r="I32" s="21"/>
      <x:c r="J32" s="21"/>
      <x:c r="K32" s="21"/>
      <x:c r="L32" s="21"/>
      <x:c r="M32" s="21"/>
      <x:c r="N32" s="21"/>
    </x:row>
  </x:sheetData>
  <x:mergeCells>
    <x:mergeCell ref="A1:H2"/>
    <x:mergeCell ref="A3:H3"/>
  </x:mergeCells>
  <x:pageMargins left="0.7" right="0.7" top="0.75" bottom="0.75" header="0.3" footer="0.3"/>
  <x:drawing xmlns:r="http://schemas.openxmlformats.org/officeDocument/2006/relationships" r:id="Rd6e4a678dcd744a7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8.130000114440918" hidden="0" customWidth="1"/>
    <x:col min="2" max="2" width="13.130000114440918" hidden="0" customWidth="1"/>
    <x:col min="3" max="3" width="8.380000114440918" hidden="0" customWidth="1"/>
    <x:col min="4" max="4" width="11.25" hidden="0" customWidth="1"/>
    <x:col min="5" max="5" width="6.25" hidden="0" customWidth="1"/>
    <x:col min="6" max="6" width="6.25" hidden="0" customWidth="1"/>
    <x:col min="7" max="7" width="4.130000114440918" hidden="0" customWidth="1"/>
    <x:col min="8" max="8" width="2.880000114440918" hidden="0" customWidth="1"/>
    <x:col min="9" max="9" width="14" hidden="0" customWidth="1"/>
    <x:col min="10" max="10" width="7.130000114440918" hidden="0" customWidth="1"/>
    <x:col min="11" max="11" width="10.630000114440918" hidden="0" customWidth="1"/>
    <x:col min="12" max="12" width="12.75" hidden="0" customWidth="1"/>
  </x:cols>
  <x:sheetData>
    <x:row r="1" ht="15" hidden="0" customHeight="1">
      <x:c r="A1" s="8" t="str">
        <x:v>Ssn</x:v>
      </x:c>
      <x:c r="B1" s="8" t="str">
        <x:v>Employee_name</x:v>
      </x:c>
      <x:c r="C1" s="8" t="str">
        <x:v>Bdate</x:v>
      </x:c>
      <x:c r="D1" s="8" t="str">
        <x:v>House_number</x:v>
      </x:c>
      <x:c r="E1" s="8" t="str">
        <x:v>Street</x:v>
      </x:c>
      <x:c r="F1" s="8" t="str">
        <x:v>City</x:v>
      </x:c>
      <x:c r="G1" s="8" t="str">
        <x:v>State</x:v>
      </x:c>
      <x:c r="H1" s="8" t="str">
        <x:v>Sex</x:v>
      </x:c>
      <x:c r="I1" s="8" t="str">
        <x:v>Salary</x:v>
      </x:c>
      <x:c r="J1" s="8" t="str">
        <x:v>Dnumber</x:v>
      </x:c>
      <x:c r="K1" s="8" t="str">
        <x:v>Department</x:v>
      </x:c>
      <x:c r="L1" s="8" t="str">
        <x:v>Manager_name</x:v>
      </x:c>
    </x:row>
    <x:row r="2" ht="15" hidden="0" customHeight="1">
      <x:c r="A2" s="9" t="str">
        <x:v>123456789</x:v>
      </x:c>
      <x:c r="B2" s="9" t="str">
        <x:v>John B Smith</x:v>
      </x:c>
      <x:c r="C2" s="9" t="str">
        <x:v>1965-01-09</x:v>
      </x:c>
      <x:c r="D2" s="9" t="str">
        <x:v>731</x:v>
      </x:c>
      <x:c r="E2" s="9" t="str">
        <x:v>Fondren</x:v>
      </x:c>
      <x:c r="F2" s="9" t="str">
        <x:v>Houston</x:v>
      </x:c>
      <x:c r="G2" s="9" t="str">
        <x:v>TX</x:v>
      </x:c>
      <x:c r="H2" s="9" t="str">
        <x:v>M</x:v>
      </x:c>
      <x:c r="I2" s="10" t="n">
        <x:v>30000</x:v>
      </x:c>
      <x:c r="J2" s="9" t="n">
        <x:v>5</x:v>
      </x:c>
      <x:c r="K2" s="9" t="str">
        <x:v>Research</x:v>
      </x:c>
      <x:c r="L2" s="9" t="str">
        <x:v>Franklin T Wong</x:v>
      </x:c>
    </x:row>
    <x:row r="3" ht="15" hidden="0" customHeight="1">
      <x:c r="A3" s="9" t="str">
        <x:v>333445555</x:v>
      </x:c>
      <x:c r="B3" s="9" t="str">
        <x:v>Franklin T Wong</x:v>
      </x:c>
      <x:c r="C3" s="9" t="str">
        <x:v>1955-12-08</x:v>
      </x:c>
      <x:c r="D3" s="9" t="str">
        <x:v>638</x:v>
      </x:c>
      <x:c r="E3" s="9" t="str">
        <x:v>Voss</x:v>
      </x:c>
      <x:c r="F3" s="9" t="str">
        <x:v>Houston</x:v>
      </x:c>
      <x:c r="G3" s="9" t="str">
        <x:v>TX</x:v>
      </x:c>
      <x:c r="H3" s="9" t="str">
        <x:v>M</x:v>
      </x:c>
      <x:c r="I3" s="10" t="n">
        <x:v>40000</x:v>
      </x:c>
      <x:c r="J3" s="9" t="n">
        <x:v>5</x:v>
      </x:c>
      <x:c r="K3" s="9" t="str">
        <x:v>Research</x:v>
      </x:c>
      <x:c r="L3" s="9" t="str">
        <x:v>James E Borg</x:v>
      </x:c>
    </x:row>
    <x:row r="4" ht="15" hidden="0" customHeight="1">
      <x:c r="A4" s="9" t="str">
        <x:v>453453453</x:v>
      </x:c>
      <x:c r="B4" s="9" t="str">
        <x:v>Joyce A English</x:v>
      </x:c>
      <x:c r="C4" s="9" t="str">
        <x:v>1972-07-31</x:v>
      </x:c>
      <x:c r="D4" s="9" t="str">
        <x:v>5631</x:v>
      </x:c>
      <x:c r="E4" s="9" t="str">
        <x:v>Rice</x:v>
      </x:c>
      <x:c r="F4" s="9" t="str">
        <x:v>Houston</x:v>
      </x:c>
      <x:c r="G4" s="9" t="str">
        <x:v>TX</x:v>
      </x:c>
      <x:c r="H4" s="9" t="str">
        <x:v>F</x:v>
      </x:c>
      <x:c r="I4" s="10" t="n">
        <x:v>25000</x:v>
      </x:c>
      <x:c r="J4" s="9" t="n">
        <x:v>5</x:v>
      </x:c>
      <x:c r="K4" s="9" t="str">
        <x:v>Research</x:v>
      </x:c>
      <x:c r="L4" s="9" t="str">
        <x:v>Franklin T Wong</x:v>
      </x:c>
    </x:row>
    <x:row r="5" ht="15" hidden="0" customHeight="1">
      <x:c r="A5" s="9" t="str">
        <x:v>666884444</x:v>
      </x:c>
      <x:c r="B5" s="9" t="str">
        <x:v>Ramesh K Narayan</x:v>
      </x:c>
      <x:c r="C5" s="9" t="str">
        <x:v>1962-09-15</x:v>
      </x:c>
      <x:c r="D5" s="9" t="str">
        <x:v>975</x:v>
      </x:c>
      <x:c r="E5" s="9" t="str">
        <x:v>Fire-Oak</x:v>
      </x:c>
      <x:c r="F5" s="9" t="str">
        <x:v>Humble</x:v>
      </x:c>
      <x:c r="G5" s="9" t="str">
        <x:v>TX</x:v>
      </x:c>
      <x:c r="H5" s="9" t="str">
        <x:v>M</x:v>
      </x:c>
      <x:c r="I5" s="10" t="n">
        <x:v>38000</x:v>
      </x:c>
      <x:c r="J5" s="9" t="n">
        <x:v>5</x:v>
      </x:c>
      <x:c r="K5" s="9" t="str">
        <x:v>Research</x:v>
      </x:c>
      <x:c r="L5" s="9" t="str">
        <x:v>Franklin T Wong</x:v>
      </x:c>
    </x:row>
    <x:row r="6" ht="15" hidden="0" customHeight="1">
      <x:c r="A6" s="9" t="str">
        <x:v>888665555</x:v>
      </x:c>
      <x:c r="B6" s="9" t="str">
        <x:v>James E Borg</x:v>
      </x:c>
      <x:c r="C6" s="9" t="str">
        <x:v>1937-11-10</x:v>
      </x:c>
      <x:c r="D6" s="9" t="str">
        <x:v>450</x:v>
      </x:c>
      <x:c r="E6" s="9" t="str">
        <x:v>Stone</x:v>
      </x:c>
      <x:c r="F6" s="9" t="str">
        <x:v>Houston</x:v>
      </x:c>
      <x:c r="G6" s="9" t="str">
        <x:v>TX</x:v>
      </x:c>
      <x:c r="H6" s="9" t="str">
        <x:v>M</x:v>
      </x:c>
      <x:c r="I6" s="10" t="n">
        <x:v>55000</x:v>
      </x:c>
      <x:c r="J6" s="9" t="n">
        <x:v>1</x:v>
      </x:c>
      <x:c r="K6" s="9" t="str">
        <x:v>Headquarters</x:v>
      </x:c>
      <x:c r="L6" s="9" t="str">
        <x:v>Sem gerente</x:v>
      </x:c>
    </x:row>
    <x:row r="7" ht="15" hidden="0" customHeight="1">
      <x:c r="A7" s="9" t="str">
        <x:v>987654321</x:v>
      </x:c>
      <x:c r="B7" s="9" t="str">
        <x:v>Jennifer S Wallace</x:v>
      </x:c>
      <x:c r="C7" s="9" t="str">
        <x:v>1941-06-20</x:v>
      </x:c>
      <x:c r="D7" s="9" t="str">
        <x:v>291</x:v>
      </x:c>
      <x:c r="E7" s="9" t="str">
        <x:v>Berry</x:v>
      </x:c>
      <x:c r="F7" s="9" t="str">
        <x:v>Bellaire</x:v>
      </x:c>
      <x:c r="G7" s="9" t="str">
        <x:v>TX</x:v>
      </x:c>
      <x:c r="H7" s="9" t="str">
        <x:v>F</x:v>
      </x:c>
      <x:c r="I7" s="10" t="n">
        <x:v>43000</x:v>
      </x:c>
      <x:c r="J7" s="9" t="n">
        <x:v>4</x:v>
      </x:c>
      <x:c r="K7" s="9" t="str">
        <x:v>Administration</x:v>
      </x:c>
      <x:c r="L7" s="9" t="str">
        <x:v>James E Borg</x:v>
      </x:c>
    </x:row>
    <x:row r="8" ht="15" hidden="0" customHeight="1">
      <x:c r="A8" s="9" t="str">
        <x:v>987987987</x:v>
      </x:c>
      <x:c r="B8" s="9" t="str">
        <x:v>Ahmad V Jabbar</x:v>
      </x:c>
      <x:c r="C8" s="9" t="str">
        <x:v>1969-03-29</x:v>
      </x:c>
      <x:c r="D8" s="9" t="str">
        <x:v>980</x:v>
      </x:c>
      <x:c r="E8" s="9" t="str">
        <x:v>Dallas</x:v>
      </x:c>
      <x:c r="F8" s="9" t="str">
        <x:v>Houston</x:v>
      </x:c>
      <x:c r="G8" s="9" t="str">
        <x:v>TX</x:v>
      </x:c>
      <x:c r="H8" s="9" t="str">
        <x:v>M</x:v>
      </x:c>
      <x:c r="I8" s="10" t="n">
        <x:v>25000</x:v>
      </x:c>
      <x:c r="J8" s="9" t="n">
        <x:v>4</x:v>
      </x:c>
      <x:c r="K8" s="9" t="str">
        <x:v>Administration</x:v>
      </x:c>
      <x:c r="L8" s="9" t="str">
        <x:v>Jennifer S Wallace</x:v>
      </x:c>
    </x:row>
    <x:row r="9" ht="15" hidden="0" customHeight="1">
      <x:c r="A9" s="9" t="str">
        <x:v>999887777</x:v>
      </x:c>
      <x:c r="B9" s="9" t="str">
        <x:v>Alicia J Zelaya</x:v>
      </x:c>
      <x:c r="C9" s="9" t="str">
        <x:v>1968-01-19</x:v>
      </x:c>
      <x:c r="D9" s="9" t="str">
        <x:v>3321</x:v>
      </x:c>
      <x:c r="E9" s="9" t="str">
        <x:v>Castle</x:v>
      </x:c>
      <x:c r="F9" s="9" t="str">
        <x:v>Spring</x:v>
      </x:c>
      <x:c r="G9" s="9" t="str">
        <x:v>TX</x:v>
      </x:c>
      <x:c r="H9" s="9" t="str">
        <x:v>F</x:v>
      </x:c>
      <x:c r="I9" s="10" t="n">
        <x:v>25000</x:v>
      </x:c>
      <x:c r="J9" s="9" t="n">
        <x:v>4</x:v>
      </x:c>
      <x:c r="K9" s="9" t="str">
        <x:v>Administration</x:v>
      </x:c>
      <x:c r="L9" s="9" t="str">
        <x:v>Jennifer S Wallace</x:v>
      </x:c>
    </x:row>
  </x:sheetData>
  <x:pageMargins left="0.7" right="0.7" top="0.75" bottom="0.75" header="0.3" footer="0.3"/>
  <x:tableParts count="1">
    <x:tablePart xmlns:r="http://schemas.openxmlformats.org/officeDocument/2006/relationships" r:id="R469eef3555f1493f"/>
  </x:tableParts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7.130000114440918" hidden="0" customWidth="1"/>
    <x:col min="2" max="2" width="10.630000114440918" hidden="0" customWidth="1"/>
    <x:col min="3" max="3" width="7.25" hidden="0" customWidth="1"/>
    <x:col min="4" max="4" width="17.1299991607666" hidden="0" customWidth="1"/>
  </x:cols>
  <x:sheetData>
    <x:row r="1" ht="15" hidden="0" customHeight="1">
      <x:c r="A1" s="8" t="str">
        <x:v>Dnumber</x:v>
      </x:c>
      <x:c r="B1" s="8" t="str">
        <x:v>Dname</x:v>
      </x:c>
      <x:c r="C1" s="8" t="str">
        <x:v>Dlocation</x:v>
      </x:c>
      <x:c r="D1" s="8" t="str">
        <x:v>Department_location</x:v>
      </x:c>
    </x:row>
    <x:row r="2" ht="15" hidden="0" customHeight="1">
      <x:c r="A2" s="9" t="n">
        <x:v>1</x:v>
      </x:c>
      <x:c r="B2" s="9" t="str">
        <x:v>Headquarters</x:v>
      </x:c>
      <x:c r="C2" s="9" t="str">
        <x:v>Houston</x:v>
      </x:c>
      <x:c r="D2" s="9" t="str">
        <x:v>Headquarters - Houston</x:v>
      </x:c>
    </x:row>
    <x:row r="3" ht="15" hidden="0" customHeight="1">
      <x:c r="A3" s="9" t="n">
        <x:v>4</x:v>
      </x:c>
      <x:c r="B3" s="9" t="str">
        <x:v>Administration</x:v>
      </x:c>
      <x:c r="C3" s="9" t="str">
        <x:v>Stafford</x:v>
      </x:c>
      <x:c r="D3" s="9" t="str">
        <x:v>Administration - Stafford</x:v>
      </x:c>
    </x:row>
    <x:row r="4" ht="15" hidden="0" customHeight="1">
      <x:c r="A4" s="9" t="n">
        <x:v>5</x:v>
      </x:c>
      <x:c r="B4" s="9" t="str">
        <x:v>Research</x:v>
      </x:c>
      <x:c r="C4" s="9" t="str">
        <x:v>Bellaire</x:v>
      </x:c>
      <x:c r="D4" s="9" t="str">
        <x:v>Research - Bellaire</x:v>
      </x:c>
    </x:row>
    <x:row r="5" ht="15" hidden="0" customHeight="1">
      <x:c r="A5" s="9" t="n">
        <x:v>5</x:v>
      </x:c>
      <x:c r="B5" s="9" t="str">
        <x:v>Research</x:v>
      </x:c>
      <x:c r="C5" s="9" t="str">
        <x:v>Houston</x:v>
      </x:c>
      <x:c r="D5" s="9" t="str">
        <x:v>Research - Houston</x:v>
      </x:c>
    </x:row>
    <x:row r="6" ht="15" hidden="0" customHeight="1">
      <x:c r="A6" s="9" t="n">
        <x:v>5</x:v>
      </x:c>
      <x:c r="B6" s="9" t="str">
        <x:v>Research</x:v>
      </x:c>
      <x:c r="C6" s="9" t="str">
        <x:v>Sugarland</x:v>
      </x:c>
      <x:c r="D6" s="9" t="str">
        <x:v>Research - Sugarland</x:v>
      </x:c>
    </x:row>
  </x:sheetData>
  <x:pageMargins left="0.7" right="0.7" top="0.75" bottom="0.75" header="0.3" footer="0.3"/>
  <x:tableParts count="1">
    <x:tablePart xmlns:r="http://schemas.openxmlformats.org/officeDocument/2006/relationships" r:id="Read6562570a045dc"/>
  </x:tableParts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.75" hidden="0" customWidth="1"/>
    <x:col min="2" max="2" width="12.130000114440918" hidden="0" customWidth="1"/>
  </x:cols>
  <x:sheetData>
    <x:row r="1" ht="15" hidden="0" customHeight="1">
      <x:c r="A1" s="8" t="str">
        <x:v>Manager_name</x:v>
      </x:c>
      <x:c r="B1" s="8" t="str">
        <x:v>Employee_count</x:v>
      </x:c>
    </x:row>
    <x:row r="2" ht="15" hidden="0" customHeight="1">
      <x:c r="A2" s="9" t="str">
        <x:v>Franklin T Wong</x:v>
      </x:c>
      <x:c r="B2" s="9" t="n">
        <x:v>3</x:v>
      </x:c>
    </x:row>
    <x:row r="3" ht="15" hidden="0" customHeight="1">
      <x:c r="A3" s="9" t="str">
        <x:v>James E Borg</x:v>
      </x:c>
      <x:c r="B3" s="9" t="n">
        <x:v>2</x:v>
      </x:c>
    </x:row>
    <x:row r="4" ht="15" hidden="0" customHeight="1">
      <x:c r="A4" s="9" t="str">
        <x:v>Jennifer S Wallace</x:v>
      </x:c>
      <x:c r="B4" s="9" t="n">
        <x:v>2</x:v>
      </x:c>
    </x:row>
    <x:row r="5" ht="15" hidden="0" customHeight="1">
      <x:c r="A5" s="9" t="str">
        <x:v>Sem gerente</x:v>
      </x:c>
      <x:c r="B5" s="9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37d06d4be9b947b5"/>
  </x:tableParts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6.880000114440918" hidden="0" customWidth="1"/>
    <x:col min="2" max="2" width="11.880000114440918" hidden="0" customWidth="1"/>
    <x:col min="3" max="3" width="7.25" hidden="0" customWidth="1"/>
    <x:col min="4" max="4" width="8.630000114440918" hidden="0" customWidth="1"/>
  </x:cols>
  <x:sheetData>
    <x:row r="1" ht="15" hidden="0" customHeight="1">
      <x:c r="A1" s="8" t="str">
        <x:v>Pnumber</x:v>
      </x:c>
      <x:c r="B1" s="8" t="str">
        <x:v>Pname</x:v>
      </x:c>
      <x:c r="C1" s="8" t="str">
        <x:v>Plocation</x:v>
      </x:c>
      <x:c r="D1" s="8" t="str">
        <x:v>Total_hours</x:v>
      </x:c>
    </x:row>
    <x:row r="2" ht="15" hidden="0" customHeight="1">
      <x:c r="A2" s="9" t="n">
        <x:v>1</x:v>
      </x:c>
      <x:c r="B2" s="9" t="str">
        <x:v>ProductX</x:v>
      </x:c>
      <x:c r="C2" s="9" t="str">
        <x:v>Bellaire</x:v>
      </x:c>
      <x:c r="D2" s="11" t="n">
        <x:v>52.5</x:v>
      </x:c>
    </x:row>
    <x:row r="3" ht="15" hidden="0" customHeight="1">
      <x:c r="A3" s="9" t="n">
        <x:v>2</x:v>
      </x:c>
      <x:c r="B3" s="9" t="str">
        <x:v>ProductY</x:v>
      </x:c>
      <x:c r="C3" s="9" t="str">
        <x:v>Sugarland</x:v>
      </x:c>
      <x:c r="D3" s="11" t="n">
        <x:v>37.5</x:v>
      </x:c>
    </x:row>
    <x:row r="4" ht="15" hidden="0" customHeight="1">
      <x:c r="A4" s="9" t="n">
        <x:v>3</x:v>
      </x:c>
      <x:c r="B4" s="9" t="str">
        <x:v>ProductZ</x:v>
      </x:c>
      <x:c r="C4" s="9" t="str">
        <x:v>Houston</x:v>
      </x:c>
      <x:c r="D4" s="11" t="n">
        <x:v>50</x:v>
      </x:c>
    </x:row>
    <x:row r="5" ht="15" hidden="0" customHeight="1">
      <x:c r="A5" s="9" t="n">
        <x:v>10</x:v>
      </x:c>
      <x:c r="B5" s="9" t="str">
        <x:v>Computerization</x:v>
      </x:c>
      <x:c r="C5" s="9" t="str">
        <x:v>Stafford</x:v>
      </x:c>
      <x:c r="D5" s="11" t="n">
        <x:v>55</x:v>
      </x:c>
    </x:row>
    <x:row r="6" ht="15" hidden="0" customHeight="1">
      <x:c r="A6" s="9" t="n">
        <x:v>20</x:v>
      </x:c>
      <x:c r="B6" s="9" t="str">
        <x:v>Reorganization</x:v>
      </x:c>
      <x:c r="C6" s="9" t="str">
        <x:v>Houston</x:v>
      </x:c>
      <x:c r="D6" s="11" t="n">
        <x:v>25</x:v>
      </x:c>
    </x:row>
    <x:row r="7" ht="15" hidden="0" customHeight="1">
      <x:c r="A7" s="9" t="n">
        <x:v>30</x:v>
      </x:c>
      <x:c r="B7" s="9" t="str">
        <x:v>Newbenefits</x:v>
      </x:c>
      <x:c r="C7" s="9" t="str">
        <x:v>Stafford</x:v>
      </x:c>
      <x:c r="D7" s="11" t="n">
        <x:v>55</x:v>
      </x:c>
    </x:row>
  </x:sheetData>
  <x:pageMargins left="0.7" right="0.7" top="0.75" bottom="0.75" header="0.3" footer="0.3"/>
  <x:tableParts count="1">
    <x:tablePart xmlns:r="http://schemas.openxmlformats.org/officeDocument/2006/relationships" r:id="Rec8b1d4359f143a4"/>
  </x:tableParts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1.6299991607666" hidden="0" customWidth="1"/>
    <x:col min="2" max="2" width="4.880000114440918" hidden="0" customWidth="1"/>
  </x:cols>
  <x:sheetData>
    <x:row r="1" ht="15" hidden="0" customHeight="1">
      <x:c r="A1" s="8" t="str">
        <x:v>Check_name</x:v>
      </x:c>
      <x:c r="B1" s="8" t="str">
        <x:v>Result</x:v>
      </x:c>
    </x:row>
    <x:row r="2" ht="15" hidden="0" customHeight="1">
      <x:c r="A2" s="9" t="str">
        <x:v>employee_without_manager</x:v>
      </x:c>
      <x:c r="B2" s="9" t="n">
        <x:v>1</x:v>
      </x:c>
    </x:row>
    <x:row r="3" ht="15" hidden="0" customHeight="1">
      <x:c r="A3" s="9" t="str">
        <x:v>department_without_manager</x:v>
      </x:c>
      <x:c r="B3" s="9" t="n">
        <x:v>0</x:v>
      </x:c>
    </x:row>
    <x:row r="4" ht="15" hidden="0" customHeight="1">
      <x:c r="A4" s="9" t="str">
        <x:v>works_on_negative_hours</x:v>
      </x:c>
      <x:c r="B4" s="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fe7387b46a94914"/>
  </x:tableParts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6" hidden="0" customWidth="1"/>
    <x:col min="2" max="2" width="4.25" hidden="0" customWidth="1"/>
    <x:col min="3" max="3" width="6.130000114440918" hidden="0" customWidth="1"/>
    <x:col min="4" max="4" width="8.130000114440918" hidden="0" customWidth="1"/>
    <x:col min="5" max="5" width="8.380000114440918" hidden="0" customWidth="1"/>
    <x:col min="6" max="6" width="17.6299991607666" hidden="0" customWidth="1"/>
    <x:col min="7" max="7" width="2.880000114440918" hidden="0" customWidth="1"/>
    <x:col min="8" max="8" width="14" hidden="0" customWidth="1"/>
    <x:col min="9" max="9" width="8.130000114440918" hidden="0" customWidth="1"/>
    <x:col min="10" max="10" width="3.380000114440918" hidden="0" customWidth="1"/>
  </x:cols>
  <x:sheetData>
    <x:row r="1" ht="15" hidden="0" customHeight="1">
      <x:c r="A1" s="8" t="str">
        <x:v>Fname</x:v>
      </x:c>
      <x:c r="B1" s="8" t="str">
        <x:v>Minit</x:v>
      </x:c>
      <x:c r="C1" s="8" t="str">
        <x:v>Lname</x:v>
      </x:c>
      <x:c r="D1" s="8" t="str">
        <x:v>Ssn</x:v>
      </x:c>
      <x:c r="E1" s="8" t="str">
        <x:v>Bdate</x:v>
      </x:c>
      <x:c r="F1" s="8" t="str">
        <x:v>Address</x:v>
      </x:c>
      <x:c r="G1" s="8" t="str">
        <x:v>Sex</x:v>
      </x:c>
      <x:c r="H1" s="8" t="str">
        <x:v>Salary</x:v>
      </x:c>
      <x:c r="I1" s="8" t="str">
        <x:v>Super_ssn</x:v>
      </x:c>
      <x:c r="J1" s="8" t="str">
        <x:v>Dno</x:v>
      </x:c>
    </x:row>
    <x:row r="2" ht="15" hidden="0" customHeight="1">
      <x:c r="A2" s="9" t="str">
        <x:v>John</x:v>
      </x:c>
      <x:c r="B2" s="9" t="str">
        <x:v>B</x:v>
      </x:c>
      <x:c r="C2" s="9" t="str">
        <x:v>Smith</x:v>
      </x:c>
      <x:c r="D2" s="9" t="str">
        <x:v>123456789</x:v>
      </x:c>
      <x:c r="E2" s="9" t="str">
        <x:v>1965-01-09</x:v>
      </x:c>
      <x:c r="F2" s="9" t="str">
        <x:v>731-Fondren-Houston-TX</x:v>
      </x:c>
      <x:c r="G2" s="9" t="str">
        <x:v>M</x:v>
      </x:c>
      <x:c r="H2" s="10" t="n">
        <x:v>30000</x:v>
      </x:c>
      <x:c r="I2" s="9" t="str">
        <x:v>333445555</x:v>
      </x:c>
      <x:c r="J2" s="9" t="n">
        <x:v>5</x:v>
      </x:c>
    </x:row>
    <x:row r="3" ht="15" hidden="0" customHeight="1">
      <x:c r="A3" s="9" t="str">
        <x:v>Franklin</x:v>
      </x:c>
      <x:c r="B3" s="9" t="str">
        <x:v>T</x:v>
      </x:c>
      <x:c r="C3" s="9" t="str">
        <x:v>Wong</x:v>
      </x:c>
      <x:c r="D3" s="9" t="str">
        <x:v>333445555</x:v>
      </x:c>
      <x:c r="E3" s="9" t="str">
        <x:v>1955-12-08</x:v>
      </x:c>
      <x:c r="F3" s="9" t="str">
        <x:v>638-Voss-Houston-TX</x:v>
      </x:c>
      <x:c r="G3" s="9" t="str">
        <x:v>M</x:v>
      </x:c>
      <x:c r="H3" s="10" t="n">
        <x:v>40000</x:v>
      </x:c>
      <x:c r="I3" s="9" t="str">
        <x:v>888665555</x:v>
      </x:c>
      <x:c r="J3" s="9" t="n">
        <x:v>5</x:v>
      </x:c>
    </x:row>
    <x:row r="4" ht="15" hidden="0" customHeight="1">
      <x:c r="A4" s="9" t="str">
        <x:v>Joyce</x:v>
      </x:c>
      <x:c r="B4" s="9" t="str">
        <x:v>A</x:v>
      </x:c>
      <x:c r="C4" s="9" t="str">
        <x:v>English</x:v>
      </x:c>
      <x:c r="D4" s="9" t="str">
        <x:v>453453453</x:v>
      </x:c>
      <x:c r="E4" s="9" t="str">
        <x:v>1972-07-31</x:v>
      </x:c>
      <x:c r="F4" s="9" t="str">
        <x:v>5631-Rice-Houston-TX</x:v>
      </x:c>
      <x:c r="G4" s="9" t="str">
        <x:v>F</x:v>
      </x:c>
      <x:c r="H4" s="10" t="n">
        <x:v>25000</x:v>
      </x:c>
      <x:c r="I4" s="9" t="str">
        <x:v>333445555</x:v>
      </x:c>
      <x:c r="J4" s="9" t="n">
        <x:v>5</x:v>
      </x:c>
    </x:row>
    <x:row r="5" ht="15" hidden="0" customHeight="1">
      <x:c r="A5" s="9" t="str">
        <x:v>Ramesh</x:v>
      </x:c>
      <x:c r="B5" s="9" t="str">
        <x:v>K</x:v>
      </x:c>
      <x:c r="C5" s="9" t="str">
        <x:v>Narayan</x:v>
      </x:c>
      <x:c r="D5" s="9" t="str">
        <x:v>666884444</x:v>
      </x:c>
      <x:c r="E5" s="9" t="str">
        <x:v>1962-09-15</x:v>
      </x:c>
      <x:c r="F5" s="9" t="str">
        <x:v>975-Fire-Oak-Humble-TX</x:v>
      </x:c>
      <x:c r="G5" s="9" t="str">
        <x:v>M</x:v>
      </x:c>
      <x:c r="H5" s="10" t="n">
        <x:v>38000</x:v>
      </x:c>
      <x:c r="I5" s="9" t="str">
        <x:v>333445555</x:v>
      </x:c>
      <x:c r="J5" s="9" t="n">
        <x:v>5</x:v>
      </x:c>
    </x:row>
    <x:row r="6" ht="15" hidden="0" customHeight="1">
      <x:c r="A6" s="9" t="str">
        <x:v>James</x:v>
      </x:c>
      <x:c r="B6" s="9" t="str">
        <x:v>E</x:v>
      </x:c>
      <x:c r="C6" s="9" t="str">
        <x:v>Borg</x:v>
      </x:c>
      <x:c r="D6" s="9" t="str">
        <x:v>888665555</x:v>
      </x:c>
      <x:c r="E6" s="9" t="str">
        <x:v>1937-11-10</x:v>
      </x:c>
      <x:c r="F6" s="9" t="str">
        <x:v>450-Stone-Houston-TX</x:v>
      </x:c>
      <x:c r="G6" s="9" t="str">
        <x:v>M</x:v>
      </x:c>
      <x:c r="H6" s="10" t="n">
        <x:v>55000</x:v>
      </x:c>
      <x:c r="I6" s="9" t="str"/>
      <x:c r="J6" s="9" t="n">
        <x:v>1</x:v>
      </x:c>
    </x:row>
    <x:row r="7" ht="15" hidden="0" customHeight="1">
      <x:c r="A7" s="9" t="str">
        <x:v>Jennifer</x:v>
      </x:c>
      <x:c r="B7" s="9" t="str">
        <x:v>S</x:v>
      </x:c>
      <x:c r="C7" s="9" t="str">
        <x:v>Wallace</x:v>
      </x:c>
      <x:c r="D7" s="9" t="str">
        <x:v>987654321</x:v>
      </x:c>
      <x:c r="E7" s="9" t="str">
        <x:v>1941-06-20</x:v>
      </x:c>
      <x:c r="F7" s="9" t="str">
        <x:v>291-Berry-Bellaire-TX</x:v>
      </x:c>
      <x:c r="G7" s="9" t="str">
        <x:v>F</x:v>
      </x:c>
      <x:c r="H7" s="10" t="n">
        <x:v>43000</x:v>
      </x:c>
      <x:c r="I7" s="9" t="str">
        <x:v>888665555</x:v>
      </x:c>
      <x:c r="J7" s="9" t="n">
        <x:v>4</x:v>
      </x:c>
    </x:row>
    <x:row r="8" ht="15" hidden="0" customHeight="1">
      <x:c r="A8" s="9" t="str">
        <x:v>Ahmad</x:v>
      </x:c>
      <x:c r="B8" s="9" t="str">
        <x:v>V</x:v>
      </x:c>
      <x:c r="C8" s="9" t="str">
        <x:v>Jabbar</x:v>
      </x:c>
      <x:c r="D8" s="9" t="str">
        <x:v>987987987</x:v>
      </x:c>
      <x:c r="E8" s="9" t="str">
        <x:v>1969-03-29</x:v>
      </x:c>
      <x:c r="F8" s="9" t="str">
        <x:v>980-Dallas-Houston-TX</x:v>
      </x:c>
      <x:c r="G8" s="9" t="str">
        <x:v>M</x:v>
      </x:c>
      <x:c r="H8" s="10" t="n">
        <x:v>25000</x:v>
      </x:c>
      <x:c r="I8" s="9" t="str">
        <x:v>987654321</x:v>
      </x:c>
      <x:c r="J8" s="9" t="n">
        <x:v>4</x:v>
      </x:c>
    </x:row>
    <x:row r="9" ht="15" hidden="0" customHeight="1">
      <x:c r="A9" s="9" t="str">
        <x:v>Alicia</x:v>
      </x:c>
      <x:c r="B9" s="9" t="str">
        <x:v>J</x:v>
      </x:c>
      <x:c r="C9" s="9" t="str">
        <x:v>Zelaya</x:v>
      </x:c>
      <x:c r="D9" s="9" t="str">
        <x:v>999887777</x:v>
      </x:c>
      <x:c r="E9" s="9" t="str">
        <x:v>1968-01-19</x:v>
      </x:c>
      <x:c r="F9" s="9" t="str">
        <x:v>3321-Castle-Spring-TX</x:v>
      </x:c>
      <x:c r="G9" s="9" t="str">
        <x:v>F</x:v>
      </x:c>
      <x:c r="H9" s="10" t="n">
        <x:v>25000</x:v>
      </x:c>
      <x:c r="I9" s="9" t="str">
        <x:v>987654321</x:v>
      </x:c>
      <x:c r="J9" s="9" t="n">
        <x:v>4</x:v>
      </x:c>
    </x:row>
  </x:sheetData>
  <x:pageMargins left="0.7" right="0.7" top="0.75" bottom="0.75" header="0.3" footer="0.3"/>
  <x:tableParts count="1">
    <x:tablePart xmlns:r="http://schemas.openxmlformats.org/officeDocument/2006/relationships" r:id="Re7f04dc6d7e6416b"/>
  </x:tableParts>
</x:worksheet>
</file>

<file path=xl/worksheets/sheet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0.630000114440918" hidden="0" customWidth="1"/>
    <x:col min="2" max="2" width="7.130000114440918" hidden="0" customWidth="1"/>
    <x:col min="3" max="3" width="8.130000114440918" hidden="0" customWidth="1"/>
    <x:col min="4" max="4" width="11.380000114440918" hidden="0" customWidth="1"/>
    <x:col min="5" max="5" width="13" hidden="0" customWidth="1"/>
  </x:cols>
  <x:sheetData>
    <x:row r="1" ht="15" hidden="0" customHeight="1">
      <x:c r="A1" s="8" t="str">
        <x:v>Dname</x:v>
      </x:c>
      <x:c r="B1" s="8" t="str">
        <x:v>Dnumber</x:v>
      </x:c>
      <x:c r="C1" s="8" t="str">
        <x:v>Mgr_ssn</x:v>
      </x:c>
      <x:c r="D1" s="8" t="str">
        <x:v>Mgr_start_date</x:v>
      </x:c>
      <x:c r="E1" s="8" t="str">
        <x:v>Dept_create_date</x:v>
      </x:c>
    </x:row>
    <x:row r="2" ht="15" hidden="0" customHeight="1">
      <x:c r="A2" s="9" t="str">
        <x:v>Headquarters</x:v>
      </x:c>
      <x:c r="B2" s="9" t="n">
        <x:v>1</x:v>
      </x:c>
      <x:c r="C2" s="9" t="n">
        <x:v>888665555</x:v>
      </x:c>
      <x:c r="D2" s="9" t="str">
        <x:v>1981-06-19</x:v>
      </x:c>
      <x:c r="E2" s="9" t="str">
        <x:v>1980-06-19</x:v>
      </x:c>
    </x:row>
    <x:row r="3" ht="15" hidden="0" customHeight="1">
      <x:c r="A3" s="9" t="str">
        <x:v>Administration</x:v>
      </x:c>
      <x:c r="B3" s="9" t="n">
        <x:v>4</x:v>
      </x:c>
      <x:c r="C3" s="9" t="n">
        <x:v>987654321</x:v>
      </x:c>
      <x:c r="D3" s="9" t="str">
        <x:v>1995-01-01</x:v>
      </x:c>
      <x:c r="E3" s="9" t="str">
        <x:v>1994-01-01</x:v>
      </x:c>
    </x:row>
    <x:row r="4" ht="15" hidden="0" customHeight="1">
      <x:c r="A4" s="9" t="str">
        <x:v>Research</x:v>
      </x:c>
      <x:c r="B4" s="9" t="n">
        <x:v>5</x:v>
      </x:c>
      <x:c r="C4" s="9" t="n">
        <x:v>333445555</x:v>
      </x:c>
      <x:c r="D4" s="9" t="str">
        <x:v>1988-05-22</x:v>
      </x:c>
      <x:c r="E4" s="9" t="str">
        <x:v>1986-05-22</x:v>
      </x:c>
    </x:row>
  </x:sheetData>
  <x:pageMargins left="0.7" right="0.7" top="0.75" bottom="0.75" header="0.3" footer="0.3"/>
  <x:tableParts count="1">
    <x:tablePart xmlns:r="http://schemas.openxmlformats.org/officeDocument/2006/relationships" r:id="R218990a87e614b18"/>
  </x:tableParts>
</x:worksheet>
</file>

<file path=xl/worksheets/sheet9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7.130000114440918" hidden="0" customWidth="1"/>
    <x:col min="2" max="2" width="7.25" hidden="0" customWidth="1"/>
  </x:cols>
  <x:sheetData>
    <x:row r="1" ht="15" hidden="0" customHeight="1">
      <x:c r="A1" s="8" t="str">
        <x:v>Dnumber</x:v>
      </x:c>
      <x:c r="B1" s="8" t="str">
        <x:v>Dlocation</x:v>
      </x:c>
    </x:row>
    <x:row r="2" ht="15" hidden="0" customHeight="1">
      <x:c r="A2" s="9" t="n">
        <x:v>1</x:v>
      </x:c>
      <x:c r="B2" s="9" t="str">
        <x:v>Houston</x:v>
      </x:c>
    </x:row>
    <x:row r="3" ht="15" hidden="0" customHeight="1">
      <x:c r="A3" s="9" t="n">
        <x:v>4</x:v>
      </x:c>
      <x:c r="B3" s="9" t="str">
        <x:v>Stafford</x:v>
      </x:c>
    </x:row>
    <x:row r="4" ht="15" hidden="0" customHeight="1">
      <x:c r="A4" s="9" t="n">
        <x:v>5</x:v>
      </x:c>
      <x:c r="B4" s="9" t="str">
        <x:v>Bellaire</x:v>
      </x:c>
    </x:row>
    <x:row r="5" ht="15" hidden="0" customHeight="1">
      <x:c r="A5" s="9" t="n">
        <x:v>5</x:v>
      </x:c>
      <x:c r="B5" s="9" t="str">
        <x:v>Houston</x:v>
      </x:c>
    </x:row>
    <x:row r="6" ht="15" hidden="0" customHeight="1">
      <x:c r="A6" s="9" t="n">
        <x:v>5</x:v>
      </x:c>
      <x:c r="B6" s="9" t="str">
        <x:v>Sugarland</x:v>
      </x:c>
    </x:row>
  </x:sheetData>
  <x:pageMargins left="0.7" right="0.7" top="0.75" bottom="0.75" header="0.3" footer="0.3"/>
  <x:tableParts count="1">
    <x:tablePart xmlns:r="http://schemas.openxmlformats.org/officeDocument/2006/relationships" r:id="R6a91665c00e04928"/>
  </x:tableParts>
</x:worksheet>
</file>

<file path=xl/worksheets/sheet10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1.880000114440918" hidden="0" customWidth="1"/>
    <x:col min="2" max="2" width="6.880000114440918" hidden="0" customWidth="1"/>
    <x:col min="3" max="3" width="7.25" hidden="0" customWidth="1"/>
    <x:col min="4" max="4" width="4.75" hidden="0" customWidth="1"/>
  </x:cols>
  <x:sheetData>
    <x:row r="1" ht="15" hidden="0" customHeight="1">
      <x:c r="A1" s="8" t="str">
        <x:v>Pname</x:v>
      </x:c>
      <x:c r="B1" s="8" t="str">
        <x:v>Pnumber</x:v>
      </x:c>
      <x:c r="C1" s="8" t="str">
        <x:v>Plocation</x:v>
      </x:c>
      <x:c r="D1" s="8" t="str">
        <x:v>Dnum</x:v>
      </x:c>
    </x:row>
    <x:row r="2" ht="15" hidden="0" customHeight="1">
      <x:c r="A2" s="9" t="str">
        <x:v>ProductX</x:v>
      </x:c>
      <x:c r="B2" s="9" t="n">
        <x:v>1</x:v>
      </x:c>
      <x:c r="C2" s="9" t="str">
        <x:v>Bellaire</x:v>
      </x:c>
      <x:c r="D2" s="9" t="str">
        <x:v>5</x:v>
      </x:c>
    </x:row>
    <x:row r="3" ht="15" hidden="0" customHeight="1">
      <x:c r="A3" s="9" t="str">
        <x:v>ProductY</x:v>
      </x:c>
      <x:c r="B3" s="9" t="n">
        <x:v>2</x:v>
      </x:c>
      <x:c r="C3" s="9" t="str">
        <x:v>Sugarland</x:v>
      </x:c>
      <x:c r="D3" s="9" t="str">
        <x:v>5</x:v>
      </x:c>
    </x:row>
    <x:row r="4" ht="15" hidden="0" customHeight="1">
      <x:c r="A4" s="9" t="str">
        <x:v>ProductZ</x:v>
      </x:c>
      <x:c r="B4" s="9" t="n">
        <x:v>3</x:v>
      </x:c>
      <x:c r="C4" s="9" t="str">
        <x:v>Houston</x:v>
      </x:c>
      <x:c r="D4" s="9" t="str">
        <x:v>5</x:v>
      </x:c>
    </x:row>
    <x:row r="5" ht="15" hidden="0" customHeight="1">
      <x:c r="A5" s="9" t="str">
        <x:v>Computerization</x:v>
      </x:c>
      <x:c r="B5" s="9" t="n">
        <x:v>10</x:v>
      </x:c>
      <x:c r="C5" s="9" t="str">
        <x:v>Stafford</x:v>
      </x:c>
      <x:c r="D5" s="9" t="str">
        <x:v>4</x:v>
      </x:c>
    </x:row>
    <x:row r="6" ht="15" hidden="0" customHeight="1">
      <x:c r="A6" s="9" t="str">
        <x:v>Reorganization</x:v>
      </x:c>
      <x:c r="B6" s="9" t="n">
        <x:v>20</x:v>
      </x:c>
      <x:c r="C6" s="9" t="str">
        <x:v>Houston</x:v>
      </x:c>
      <x:c r="D6" s="9" t="str">
        <x:v>1</x:v>
      </x:c>
    </x:row>
    <x:row r="7" ht="15" hidden="0" customHeight="1">
      <x:c r="A7" s="9" t="str">
        <x:v>Newbenefits</x:v>
      </x:c>
      <x:c r="B7" s="9" t="n">
        <x:v>30</x:v>
      </x:c>
      <x:c r="C7" s="9" t="str">
        <x:v>Stafford</x:v>
      </x:c>
      <x:c r="D7" s="9" t="str">
        <x:v>4</x:v>
      </x:c>
    </x:row>
  </x:sheetData>
  <x:pageMargins left="0.7" right="0.7" top="0.75" bottom="0.75" header="0.3" footer="0.3"/>
  <x:tableParts count="1">
    <x:tablePart xmlns:r="http://schemas.openxmlformats.org/officeDocument/2006/relationships" r:id="R5e9c239ba7c74bd3"/>
  </x:tableParts>
</x:worksheet>
</file>

<file path=xl/worksheets/sheet1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8.130000114440918" hidden="0" customWidth="1"/>
    <x:col min="2" max="2" width="3.25" hidden="0" customWidth="1"/>
    <x:col min="3" max="3" width="4.630000114440918" hidden="0" customWidth="1"/>
  </x:cols>
  <x:sheetData>
    <x:row r="1" ht="15" hidden="0" customHeight="1">
      <x:c r="A1" s="8" t="str">
        <x:v>Essn</x:v>
      </x:c>
      <x:c r="B1" s="8" t="str">
        <x:v>Pno</x:v>
      </x:c>
      <x:c r="C1" s="8" t="str">
        <x:v>Hours</x:v>
      </x:c>
    </x:row>
    <x:row r="2" ht="15" hidden="0" customHeight="1">
      <x:c r="A2" s="9" t="str">
        <x:v>123456789</x:v>
      </x:c>
      <x:c r="B2" s="9" t="n">
        <x:v>1</x:v>
      </x:c>
      <x:c r="C2" s="11" t="n">
        <x:v>32.5</x:v>
      </x:c>
    </x:row>
    <x:row r="3" ht="15" hidden="0" customHeight="1">
      <x:c r="A3" s="9" t="str">
        <x:v>123456789</x:v>
      </x:c>
      <x:c r="B3" s="9" t="n">
        <x:v>2</x:v>
      </x:c>
      <x:c r="C3" s="11" t="n">
        <x:v>7.5</x:v>
      </x:c>
    </x:row>
    <x:row r="4" ht="15" hidden="0" customHeight="1">
      <x:c r="A4" s="9" t="str">
        <x:v>333445555</x:v>
      </x:c>
      <x:c r="B4" s="9" t="n">
        <x:v>2</x:v>
      </x:c>
      <x:c r="C4" s="11" t="n">
        <x:v>10</x:v>
      </x:c>
    </x:row>
    <x:row r="5" ht="15" hidden="0" customHeight="1">
      <x:c r="A5" s="9" t="str">
        <x:v>333445555</x:v>
      </x:c>
      <x:c r="B5" s="9" t="n">
        <x:v>3</x:v>
      </x:c>
      <x:c r="C5" s="11" t="n">
        <x:v>10</x:v>
      </x:c>
    </x:row>
    <x:row r="6" ht="15" hidden="0" customHeight="1">
      <x:c r="A6" s="9" t="str">
        <x:v>333445555</x:v>
      </x:c>
      <x:c r="B6" s="9" t="n">
        <x:v>10</x:v>
      </x:c>
      <x:c r="C6" s="11" t="n">
        <x:v>10</x:v>
      </x:c>
    </x:row>
    <x:row r="7" ht="15" hidden="0" customHeight="1">
      <x:c r="A7" s="9" t="str">
        <x:v>333445555</x:v>
      </x:c>
      <x:c r="B7" s="9" t="n">
        <x:v>20</x:v>
      </x:c>
      <x:c r="C7" s="11" t="n">
        <x:v>10</x:v>
      </x:c>
    </x:row>
    <x:row r="8" ht="15" hidden="0" customHeight="1">
      <x:c r="A8" s="9" t="str">
        <x:v>453453453</x:v>
      </x:c>
      <x:c r="B8" s="9" t="n">
        <x:v>1</x:v>
      </x:c>
      <x:c r="C8" s="11" t="n">
        <x:v>20</x:v>
      </x:c>
    </x:row>
    <x:row r="9" ht="15" hidden="0" customHeight="1">
      <x:c r="A9" s="9" t="str">
        <x:v>453453453</x:v>
      </x:c>
      <x:c r="B9" s="9" t="n">
        <x:v>2</x:v>
      </x:c>
      <x:c r="C9" s="11" t="n">
        <x:v>20</x:v>
      </x:c>
    </x:row>
    <x:row r="10" ht="15" hidden="0" customHeight="1">
      <x:c r="A10" s="9" t="str">
        <x:v>666884444</x:v>
      </x:c>
      <x:c r="B10" s="9" t="n">
        <x:v>3</x:v>
      </x:c>
      <x:c r="C10" s="11" t="n">
        <x:v>40</x:v>
      </x:c>
    </x:row>
    <x:row r="11" ht="15" hidden="0" customHeight="1">
      <x:c r="A11" s="9" t="str">
        <x:v>888665555</x:v>
      </x:c>
      <x:c r="B11" s="9" t="n">
        <x:v>20</x:v>
      </x:c>
      <x:c r="C11" s="11" t="n">
        <x:v>0</x:v>
      </x:c>
    </x:row>
    <x:row r="12" ht="15" hidden="0" customHeight="1">
      <x:c r="A12" s="9" t="str">
        <x:v>987654321</x:v>
      </x:c>
      <x:c r="B12" s="9" t="n">
        <x:v>20</x:v>
      </x:c>
      <x:c r="C12" s="11" t="n">
        <x:v>15</x:v>
      </x:c>
    </x:row>
    <x:row r="13" ht="15" hidden="0" customHeight="1">
      <x:c r="A13" s="9" t="str">
        <x:v>987654321</x:v>
      </x:c>
      <x:c r="B13" s="9" t="n">
        <x:v>30</x:v>
      </x:c>
      <x:c r="C13" s="11" t="n">
        <x:v>20</x:v>
      </x:c>
    </x:row>
    <x:row r="14" ht="15" hidden="0" customHeight="1">
      <x:c r="A14" s="9" t="str">
        <x:v>987987987</x:v>
      </x:c>
      <x:c r="B14" s="9" t="n">
        <x:v>10</x:v>
      </x:c>
      <x:c r="C14" s="11" t="n">
        <x:v>35</x:v>
      </x:c>
    </x:row>
    <x:row r="15" ht="15" hidden="0" customHeight="1">
      <x:c r="A15" s="9" t="str">
        <x:v>987987987</x:v>
      </x:c>
      <x:c r="B15" s="9" t="n">
        <x:v>30</x:v>
      </x:c>
      <x:c r="C15" s="11" t="n">
        <x:v>5</x:v>
      </x:c>
    </x:row>
    <x:row r="16" ht="15" hidden="0" customHeight="1">
      <x:c r="A16" s="9" t="str">
        <x:v>999887777</x:v>
      </x:c>
      <x:c r="B16" s="9" t="n">
        <x:v>10</x:v>
      </x:c>
      <x:c r="C16" s="11" t="n">
        <x:v>10</x:v>
      </x:c>
    </x:row>
    <x:row r="17" ht="15" hidden="0" customHeight="1">
      <x:c r="A17" s="9" t="str">
        <x:v>999887777</x:v>
      </x:c>
      <x:c r="B17" s="9" t="n">
        <x:v>30</x:v>
      </x:c>
      <x:c r="C17" s="11" t="n">
        <x:v>30</x:v>
      </x:c>
    </x:row>
  </x:sheetData>
  <x:pageMargins left="0.7" right="0.7" top="0.75" bottom="0.75" header="0.3" footer="0.3"/>
  <x:tableParts count="1">
    <x:tablePart xmlns:r="http://schemas.openxmlformats.org/officeDocument/2006/relationships" r:id="R2ea8a32b0d2f4b9c"/>
  </x:tableParts>
</x:worksheet>
</file>

<file path=xl/worksheets/sheet1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8.130000114440918" hidden="0" customWidth="1"/>
    <x:col min="2" max="2" width="13" hidden="0" customWidth="1"/>
    <x:col min="3" max="3" width="2.880000114440918" hidden="0" customWidth="1"/>
    <x:col min="4" max="4" width="8.380000114440918" hidden="0" customWidth="1"/>
    <x:col min="5" max="5" width="9.130000114440918" hidden="0" customWidth="1"/>
  </x:cols>
  <x:sheetData>
    <x:row r="1" ht="15" hidden="0" customHeight="1">
      <x:c r="A1" s="8" t="str">
        <x:v>Essn</x:v>
      </x:c>
      <x:c r="B1" s="8" t="str">
        <x:v>Dependent_name</x:v>
      </x:c>
      <x:c r="C1" s="8" t="str">
        <x:v>Sex</x:v>
      </x:c>
      <x:c r="D1" s="8" t="str">
        <x:v>Bdate</x:v>
      </x:c>
      <x:c r="E1" s="8" t="str">
        <x:v>Relationship</x:v>
      </x:c>
    </x:row>
    <x:row r="2" ht="15" hidden="0" customHeight="1">
      <x:c r="A2" s="9" t="str">
        <x:v>123456789</x:v>
      </x:c>
      <x:c r="B2" s="9" t="str">
        <x:v>Alice</x:v>
      </x:c>
      <x:c r="C2" s="9" t="str">
        <x:v>F</x:v>
      </x:c>
      <x:c r="D2" s="9" t="str">
        <x:v>1988-12-30</x:v>
      </x:c>
      <x:c r="E2" s="9" t="str">
        <x:v>Daughter</x:v>
      </x:c>
    </x:row>
    <x:row r="3" ht="15" hidden="0" customHeight="1">
      <x:c r="A3" s="9" t="str">
        <x:v>123456789</x:v>
      </x:c>
      <x:c r="B3" s="9" t="str">
        <x:v>Elizabeth</x:v>
      </x:c>
      <x:c r="C3" s="9" t="str">
        <x:v>F</x:v>
      </x:c>
      <x:c r="D3" s="9" t="str">
        <x:v>1967-05-05</x:v>
      </x:c>
      <x:c r="E3" s="9" t="str">
        <x:v>Spouse</x:v>
      </x:c>
    </x:row>
    <x:row r="4" ht="15" hidden="0" customHeight="1">
      <x:c r="A4" s="9" t="str">
        <x:v>123456789</x:v>
      </x:c>
      <x:c r="B4" s="9" t="str">
        <x:v>Michael</x:v>
      </x:c>
      <x:c r="C4" s="9" t="str">
        <x:v>M</x:v>
      </x:c>
      <x:c r="D4" s="9" t="str">
        <x:v>1988-01-04</x:v>
      </x:c>
      <x:c r="E4" s="9" t="str">
        <x:v>Son</x:v>
      </x:c>
    </x:row>
    <x:row r="5" ht="15" hidden="0" customHeight="1">
      <x:c r="A5" s="9" t="str">
        <x:v>333445555</x:v>
      </x:c>
      <x:c r="B5" s="9" t="str">
        <x:v>Alice</x:v>
      </x:c>
      <x:c r="C5" s="9" t="str">
        <x:v>F</x:v>
      </x:c>
      <x:c r="D5" s="9" t="str">
        <x:v>1986-04-05</x:v>
      </x:c>
      <x:c r="E5" s="9" t="str">
        <x:v>Daughter</x:v>
      </x:c>
    </x:row>
    <x:row r="6" ht="15" hidden="0" customHeight="1">
      <x:c r="A6" s="9" t="str">
        <x:v>333445555</x:v>
      </x:c>
      <x:c r="B6" s="9" t="str">
        <x:v>Joy</x:v>
      </x:c>
      <x:c r="C6" s="9" t="str">
        <x:v>F</x:v>
      </x:c>
      <x:c r="D6" s="9" t="str">
        <x:v>1958-05-03</x:v>
      </x:c>
      <x:c r="E6" s="9" t="str">
        <x:v>Spouse</x:v>
      </x:c>
    </x:row>
    <x:row r="7" ht="15" hidden="0" customHeight="1">
      <x:c r="A7" s="9" t="str">
        <x:v>333445555</x:v>
      </x:c>
      <x:c r="B7" s="9" t="str">
        <x:v>Theodore</x:v>
      </x:c>
      <x:c r="C7" s="9" t="str">
        <x:v>M</x:v>
      </x:c>
      <x:c r="D7" s="9" t="str">
        <x:v>1983-10-25</x:v>
      </x:c>
      <x:c r="E7" s="9" t="str">
        <x:v>Son</x:v>
      </x:c>
    </x:row>
    <x:row r="8" ht="15" hidden="0" customHeight="1">
      <x:c r="A8" s="9" t="str">
        <x:v>987654321</x:v>
      </x:c>
      <x:c r="B8" s="9" t="str">
        <x:v>Abner</x:v>
      </x:c>
      <x:c r="C8" s="9" t="str">
        <x:v>M</x:v>
      </x:c>
      <x:c r="D8" s="9" t="str">
        <x:v>1942-02-28</x:v>
      </x:c>
      <x:c r="E8" s="9" t="str">
        <x:v>Spouse</x:v>
      </x:c>
    </x:row>
  </x:sheetData>
  <x:pageMargins left="0.7" right="0.7" top="0.75" bottom="0.75" header="0.3" footer="0.3"/>
  <x:tableParts count="1">
    <x:tablePart xmlns:r="http://schemas.openxmlformats.org/officeDocument/2006/relationships" r:id="R2abb5bfeecf34a69"/>
  </x:tableParts>
</x:worksheet>
</file>