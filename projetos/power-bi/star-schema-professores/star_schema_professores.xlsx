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fd44c828b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c8777107ec8d403c"/>
    <x:sheet xmlns:r="http://schemas.openxmlformats.org/officeDocument/2006/relationships" name="F_OfertaProfessor" sheetId="2" r:id="Re74de08f64934858"/>
    <x:sheet xmlns:r="http://schemas.openxmlformats.org/officeDocument/2006/relationships" name="D_Professor" sheetId="3" r:id="R0389acf4a92d4556"/>
    <x:sheet xmlns:r="http://schemas.openxmlformats.org/officeDocument/2006/relationships" name="D_Departamento" sheetId="4" r:id="R4cb5d569d3424099"/>
    <x:sheet xmlns:r="http://schemas.openxmlformats.org/officeDocument/2006/relationships" name="D_Curso" sheetId="5" r:id="R1854d4a632204a32"/>
    <x:sheet xmlns:r="http://schemas.openxmlformats.org/officeDocument/2006/relationships" name="D_Disciplina" sheetId="6" r:id="Rfdc65870ec2e49a7"/>
    <x:sheet xmlns:r="http://schemas.openxmlformats.org/officeDocument/2006/relationships" name="D_Calendario" sheetId="7" r:id="R43e32128de4041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22"/>
      <x:color rgb="FFFFFFFF"/>
      <x:name val="Aptos Display"/>
    </x:font>
    <x:font>
      <x:i/>
      <x:sz val="11"/>
      <x:color rgb="FF23395D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1"/>
      <x:color rgb="FFFFFFFF"/>
      <x:name val="Aptos"/>
    </x:font>
    <x:font>
      <x:sz val="11"/>
      <x:color rgb="FF23395D"/>
      <x:name val="Aptos"/>
    </x:font>
    <x:font>
      <x:b/>
      <x:sz val="15"/>
      <x:color rgb="FF8B3A3A"/>
      <x:name val="Aptos Display"/>
    </x:font>
    <x:font>
      <x:b/>
      <x:sz val="10"/>
      <x:color rgb="FF23395D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23395D"/>
      </x:patternFill>
    </x:fill>
    <x:fill>
      <x:patternFill patternType="solid">
        <x:fgColor rgb="FFE8EEF7"/>
      </x:patternFill>
    </x:fill>
    <x:fill>
      <x:patternFill patternType="solid">
        <x:fgColor rgb="FF8B3A3A"/>
      </x:patternFill>
    </x:fill>
    <x:fill>
      <x:patternFill patternType="solid">
        <x:fgColor rgb="FF315C83"/>
      </x:patternFill>
    </x:fill>
    <x:fill>
      <x:patternFill patternType="solid">
        <x:fgColor rgb="FFF4F7F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6" borderId="0" xfId="0" applyNumberFormat="1" applyFont="1" applyFill="1" applyBorder="1"/>
    <x:xf numFmtId="0" fontId="8" fillId="3" borderId="0" xfId="0" applyNumberFormat="1" applyFont="1" applyFill="1" applyBorder="1"/>
    <x:xf numFmtId="0" fontId="4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d745efa3a7439b" /><Relationship Type="http://schemas.openxmlformats.org/officeDocument/2006/relationships/theme" Target="/xl/theme/theme1.xml" Id="R9edd4e8565e94db2" /><Relationship Type="http://schemas.openxmlformats.org/officeDocument/2006/relationships/sharedStrings" Target="/xl/sharedStrings.xml" Id="R41fa6710b7dd40bf" /><Relationship Type="http://schemas.openxmlformats.org/officeDocument/2006/relationships/worksheet" Target="/xl/worksheets/sheet1.xml" Id="Rc8777107ec8d403c" /><Relationship Type="http://schemas.openxmlformats.org/officeDocument/2006/relationships/worksheet" Target="/xl/worksheets/sheet2.xml" Id="Re74de08f64934858" /><Relationship Type="http://schemas.openxmlformats.org/officeDocument/2006/relationships/worksheet" Target="/xl/worksheets/sheet3.xml" Id="R0389acf4a92d4556" /><Relationship Type="http://schemas.openxmlformats.org/officeDocument/2006/relationships/worksheet" Target="/xl/worksheets/sheet4.xml" Id="R4cb5d569d3424099" /><Relationship Type="http://schemas.openxmlformats.org/officeDocument/2006/relationships/worksheet" Target="/xl/worksheets/sheet5.xml" Id="R1854d4a632204a32" /><Relationship Type="http://schemas.openxmlformats.org/officeDocument/2006/relationships/worksheet" Target="/xl/worksheets/sheet6.xml" Id="Rfdc65870ec2e49a7" /><Relationship Type="http://schemas.openxmlformats.org/officeDocument/2006/relationships/worksheet" Target="/xl/worksheets/sheet7.xml" Id="R43e32128de4041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efec2b8418547d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Carga horária por professor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Carga horária</c:v>
          </c:tx>
          <c:cat>
            <c:strRef>
              <c:f>'Resumo'!$D$6:$D$10</c:f>
              <c:strCache>
                <c:ptCount val="0"/>
              </c:strCache>
            </c:strRef>
          </c:cat>
          <c:val>
            <c:numRef>
              <c:f>'Resumo'!$E$6:$E$10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fec2b8418547d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OfertaProfessorTable" displayName="FOfertaProfessorTable" ref="A1:I13" headerRowCount="1" totalsRowCount="0" totalsRowShown="0">
  <x:tableColumns count="9">
    <x:tableColumn id="1" name="OfertaKey"/>
    <x:tableColumn id="2" name="ProfessorKey"/>
    <x:tableColumn id="3" name="DepartamentoKey"/>
    <x:tableColumn id="4" name="CursoKey"/>
    <x:tableColumn id="5" name="DisciplinaKey"/>
    <x:tableColumn id="6" name="DataKey"/>
    <x:tableColumn id="7" name="CargaHoraria"/>
    <x:tableColumn id="8" name="NumeroTurmas"/>
    <x:tableColumn id="9" name="AlunosMatriculad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ProfessorTable" displayName="DProfessorTable" ref="A1:E6" headerRowCount="1" totalsRowCount="0" totalsRowShown="0">
  <x:tableColumns count="5">
    <x:tableColumn id="1" name="ProfessorKey"/>
    <x:tableColumn id="2" name="ProfessorID"/>
    <x:tableColumn id="3" name="ProfessorNome"/>
    <x:tableColumn id="4" name="Titulacao"/>
    <x:tableColumn id="5" name="Coordenad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DepartamentoTable" displayName="DDepartamentoTable" ref="A1:D4" headerRowCount="1" totalsRowCount="0" totalsRowShown="0">
  <x:tableColumns count="4">
    <x:tableColumn id="1" name="DepartamentoKey"/>
    <x:tableColumn id="2" name="DepartamentoID"/>
    <x:tableColumn id="3" name="DepartamentoNome"/>
    <x:tableColumn id="4" name="Camp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CursoTable" displayName="DCursoTable" ref="A1:D5" headerRowCount="1" totalsRowCount="0" totalsRowShown="0">
  <x:tableColumns count="4">
    <x:tableColumn id="1" name="CursoKey"/>
    <x:tableColumn id="2" name="CursoID"/>
    <x:tableColumn id="3" name="CursoNome"/>
    <x:tableColumn id="4" name="Nive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DisciplinaTable" displayName="DDisciplinaTable" ref="A1:D7" headerRowCount="1" totalsRowCount="0" totalsRowShown="0">
  <x:tableColumns count="4">
    <x:tableColumn id="1" name="DisciplinaKey"/>
    <x:tableColumn id="2" name="DisciplinaID"/>
    <x:tableColumn id="3" name="DisciplinaNome"/>
    <x:tableColumn id="4" name="AreaConheciment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CalendarioTable" displayName="DCalendarioTable" ref="A1:G5" headerRowCount="1" totalsRowCount="0" totalsRowShown="0">
  <x:tableColumns count="7">
    <x:tableColumn id="1" name="DataKey"/>
    <x:tableColumn id="2" name="Data"/>
    <x:tableColumn id="3" name="Ano"/>
    <x:tableColumn id="4" name="Semestre"/>
    <x:tableColumn id="5" name="MesNumero"/>
    <x:tableColumn id="6" name="Mes"/>
    <x:tableColumn id="7" name="AnoM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8eb992b38504a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1823a55ab44b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500a755d744d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6af14e110246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d38bb67c3f47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b386171c0741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3c6742cf094d25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4" max="4" width="22" hidden="0" customWidth="1"/>
    <x:col min="5" max="5" width="16" hidden="0" customWidth="1"/>
  </x:cols>
  <x:sheetData>
    <x:row r="1">
      <x:c r="A1" s="3" t="str">
        <x:v>Star Schema de Professores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5" t="str">
        <x:v>Dados fictícios para demonstrar a modelagem dimensional solicitada pela DIO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</x:row>
    <x:row r="5">
      <x:c r="A5" s="13" t="str">
        <x:v>Indicador</x:v>
      </x:c>
      <x:c r="B5" s="13" t="str">
        <x:v>Valor</x:v>
      </x:c>
      <x:c r="D5" s="13" t="str">
        <x:v>Professor</x:v>
      </x:c>
      <x:c r="E5" s="13" t="str">
        <x:v>Carga horária</x:v>
      </x:c>
    </x:row>
    <x:row r="6">
      <x:c r="A6" s="15" t="str">
        <x:v>Ofertas</x:v>
      </x:c>
      <x:c r="B6" s="16" t="n">
        <x:f>COUNTA(F_OfertaProfessor!A2:A100)</x:f>
        <x:v>12</x:v>
      </x:c>
      <x:c r="D6" t="str">
        <x:f>D_Professor!C2</x:f>
        <x:v>Ana Souza</x:v>
      </x:c>
      <x:c r="E6" t="n">
        <x:f>SUMIF(F_OfertaProfessor!B:B,D_Professor!A2,F_OfertaProfessor!G:G)</x:f>
        <x:v>240</x:v>
      </x:c>
    </x:row>
    <x:row r="7">
      <x:c r="A7" s="15" t="str">
        <x:v>Professores ativos</x:v>
      </x:c>
      <x:c r="B7" s="16" t="n">
        <x:f>COUNTA(D_Professor!A2:A100)</x:f>
        <x:v>5</x:v>
      </x:c>
      <x:c r="D7" t="str">
        <x:f>D_Professor!C3</x:f>
        <x:v>Bruno Lima</x:v>
      </x:c>
      <x:c r="E7" t="n">
        <x:f>SUMIF(F_OfertaProfessor!B:B,D_Professor!A3,F_OfertaProfessor!G:G)</x:f>
        <x:v>160</x:v>
      </x:c>
    </x:row>
    <x:row r="8">
      <x:c r="A8" s="15" t="str">
        <x:v>Departamentos</x:v>
      </x:c>
      <x:c r="B8" s="16" t="n">
        <x:f>COUNTA(D_Departamento!A2:A100)</x:f>
        <x:v>3</x:v>
      </x:c>
      <x:c r="D8" t="str">
        <x:f>D_Professor!C4</x:f>
        <x:v>Carla Mendes</x:v>
      </x:c>
      <x:c r="E8" t="n">
        <x:f>SUMIF(F_OfertaProfessor!B:B,D_Professor!A4,F_OfertaProfessor!G:G)</x:f>
        <x:v>180</x:v>
      </x:c>
    </x:row>
    <x:row r="9">
      <x:c r="A9" s="15" t="str">
        <x:v>Carga horária</x:v>
      </x:c>
      <x:c r="B9" s="16" t="n">
        <x:f>SUM(F_OfertaProfessor!G2:G100)</x:f>
        <x:v>880</x:v>
      </x:c>
      <x:c r="D9" t="str">
        <x:f>D_Professor!C5</x:f>
        <x:v>Diego Rocha</x:v>
      </x:c>
      <x:c r="E9" t="n">
        <x:f>SUMIF(F_OfertaProfessor!B:B,D_Professor!A5,F_OfertaProfessor!G:G)</x:f>
        <x:v>140</x:v>
      </x:c>
    </x:row>
    <x:row r="10">
      <x:c r="A10" s="15" t="str">
        <x:v>Turmas</x:v>
      </x:c>
      <x:c r="B10" s="16" t="n">
        <x:f>SUM(F_OfertaProfessor!H2:H100)</x:f>
        <x:v>27</x:v>
      </x:c>
      <x:c r="D10" t="str">
        <x:f>D_Professor!C6</x:f>
        <x:v>Elisa Campos</x:v>
      </x:c>
      <x:c r="E10" t="n">
        <x:f>SUMIF(F_OfertaProfessor!B:B,D_Professor!A6,F_OfertaProfessor!G:G)</x:f>
        <x:v>160</x:v>
      </x:c>
    </x:row>
    <x:row r="11">
      <x:c r="A11" s="15" t="str">
        <x:v>Alunos matriculados</x:v>
      </x:c>
      <x:c r="B11" s="16" t="n">
        <x:f>SUM(F_OfertaProfessor!I2:I100)</x:f>
        <x:v>1032</x:v>
      </x:c>
    </x:row>
    <x:row r="14">
      <x:c r="A14" s="17" t="str">
        <x:v>Grão: uma oferta de disciplina por professor, curso, departamento e data</x:v>
      </x:c>
      <x:c r="B14" s="17"/>
      <x:c r="C14" s="17"/>
      <x:c r="D14" s="17"/>
      <x:c r="E14" s="17"/>
    </x:row>
    <x:row r="16">
      <x:c r="A16" s="13" t="str">
        <x:v>Dimensão</x:v>
      </x:c>
      <x:c r="B16" s="13" t="str">
        <x:v>Relacionamento</x:v>
      </x:c>
    </x:row>
    <x:row r="17">
      <x:c r="A17" s="18" t="str">
        <x:v>D_Professor</x:v>
      </x:c>
      <x:c r="B17" s="18" t="str">
        <x:v>1:* por ProfessorKey</x:v>
      </x:c>
    </x:row>
    <x:row r="18">
      <x:c r="A18" s="18" t="str">
        <x:v>D_Departamento</x:v>
      </x:c>
      <x:c r="B18" s="18" t="str">
        <x:v>1:* por DepartamentoKey</x:v>
      </x:c>
    </x:row>
    <x:row r="19">
      <x:c r="A19" s="18" t="str">
        <x:v>D_Curso</x:v>
      </x:c>
      <x:c r="B19" s="18" t="str">
        <x:v>1:* por CursoKey</x:v>
      </x:c>
    </x:row>
    <x:row r="20">
      <x:c r="A20" s="18" t="str">
        <x:v>D_Disciplina</x:v>
      </x:c>
      <x:c r="B20" s="18" t="str">
        <x:v>1:* por DisciplinaKey</x:v>
      </x:c>
    </x:row>
    <x:row r="21">
      <x:c r="A21" s="18" t="str">
        <x:v>D_Calendario</x:v>
      </x:c>
      <x:c r="B21" s="18" t="str">
        <x:v>1:* por DataKey</x:v>
      </x:c>
    </x:row>
  </x:sheetData>
  <x:mergeCells>
    <x:mergeCell ref="A1:N2"/>
    <x:mergeCell ref="A3:N3"/>
    <x:mergeCell ref="A14:E14"/>
  </x:mergeCells>
  <x:pageMargins left="0.7" right="0.7" top="0.75" bottom="0.75" header="0.3" footer="0.3"/>
  <x:drawing xmlns:r="http://schemas.openxmlformats.org/officeDocument/2006/relationships" r:id="R38eb992b38504a1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9.630000114440918" hidden="0" customWidth="1"/>
    <x:col min="3" max="3" width="13.130000114440918" hidden="0" customWidth="1"/>
    <x:col min="4" max="4" width="7" hidden="0" customWidth="1"/>
    <x:col min="5" max="5" width="9.75" hidden="0" customWidth="1"/>
    <x:col min="6" max="6" width="7.380000114440918" hidden="0" customWidth="1"/>
    <x:col min="7" max="7" width="9.630000114440918" hidden="0" customWidth="1"/>
    <x:col min="8" max="8" width="11.25" hidden="0" customWidth="1"/>
    <x:col min="9" max="9" width="14.5" hidden="0" customWidth="1"/>
  </x:cols>
  <x:sheetData>
    <x:row r="1" ht="15" hidden="0" customHeight="1">
      <x:c r="A1" s="8" t="str">
        <x:v>OfertaKey</x:v>
      </x:c>
      <x:c r="B1" s="8" t="str">
        <x:v>ProfessorKey</x:v>
      </x:c>
      <x:c r="C1" s="8" t="str">
        <x:v>DepartamentoKey</x:v>
      </x:c>
      <x:c r="D1" s="8" t="str">
        <x:v>CursoKey</x:v>
      </x:c>
      <x:c r="E1" s="8" t="str">
        <x:v>DisciplinaKey</x:v>
      </x:c>
      <x:c r="F1" s="8" t="str">
        <x:v>DataKey</x:v>
      </x:c>
      <x:c r="G1" s="8" t="str">
        <x:v>CargaHoraria</x:v>
      </x:c>
      <x:c r="H1" s="8" t="str">
        <x:v>NumeroTurmas</x:v>
      </x:c>
      <x:c r="I1" s="8" t="str">
        <x:v>AlunosMatriculados</x:v>
      </x:c>
    </x:row>
    <x:row r="2" ht="15" hidden="0" customHeight="1">
      <x:c r="A2" s="9" t="n">
        <x:v>1</x:v>
      </x:c>
      <x:c r="B2" s="9" t="n">
        <x:v>1</x:v>
      </x:c>
      <x:c r="C2" s="9" t="n">
        <x:v>10</x:v>
      </x:c>
      <x:c r="D2" s="9" t="n">
        <x:v>1001</x:v>
      </x:c>
      <x:c r="E2" s="9" t="n">
        <x:v>501</x:v>
      </x:c>
      <x:c r="F2" s="9" t="n">
        <x:v>20250203</x:v>
      </x:c>
      <x:c r="G2" s="9" t="n">
        <x:v>80</x:v>
      </x:c>
      <x:c r="H2" s="9" t="n">
        <x:v>2</x:v>
      </x:c>
      <x:c r="I2" s="9" t="n">
        <x:v>72</x:v>
      </x:c>
    </x:row>
    <x:row r="3" ht="15" hidden="0" customHeight="1">
      <x:c r="A3" s="9" t="n">
        <x:v>2</x:v>
      </x:c>
      <x:c r="B3" s="9" t="n">
        <x:v>1</x:v>
      </x:c>
      <x:c r="C3" s="9" t="n">
        <x:v>10</x:v>
      </x:c>
      <x:c r="D3" s="9" t="n">
        <x:v>1001</x:v>
      </x:c>
      <x:c r="E3" s="9" t="n">
        <x:v>503</x:v>
      </x:c>
      <x:c r="F3" s="9" t="n">
        <x:v>20250804</x:v>
      </x:c>
      <x:c r="G3" s="9" t="n">
        <x:v>80</x:v>
      </x:c>
      <x:c r="H3" s="9" t="n">
        <x:v>2</x:v>
      </x:c>
      <x:c r="I3" s="9" t="n">
        <x:v>68</x:v>
      </x:c>
    </x:row>
    <x:row r="4" ht="15" hidden="0" customHeight="1">
      <x:c r="A4" s="9" t="n">
        <x:v>3</x:v>
      </x:c>
      <x:c r="B4" s="9" t="n">
        <x:v>2</x:v>
      </x:c>
      <x:c r="C4" s="9" t="n">
        <x:v>10</x:v>
      </x:c>
      <x:c r="D4" s="9" t="n">
        <x:v>1002</x:v>
      </x:c>
      <x:c r="E4" s="9" t="n">
        <x:v>502</x:v>
      </x:c>
      <x:c r="F4" s="9" t="n">
        <x:v>20250203</x:v>
      </x:c>
      <x:c r="G4" s="9" t="n">
        <x:v>80</x:v>
      </x:c>
      <x:c r="H4" s="9" t="n">
        <x:v>3</x:v>
      </x:c>
      <x:c r="I4" s="9" t="n">
        <x:v>110</x:v>
      </x:c>
    </x:row>
    <x:row r="5" ht="15" hidden="0" customHeight="1">
      <x:c r="A5" s="9" t="n">
        <x:v>4</x:v>
      </x:c>
      <x:c r="B5" s="9" t="n">
        <x:v>2</x:v>
      </x:c>
      <x:c r="C5" s="9" t="n">
        <x:v>10</x:v>
      </x:c>
      <x:c r="D5" s="9" t="n">
        <x:v>1002</x:v>
      </x:c>
      <x:c r="E5" s="9" t="n">
        <x:v>501</x:v>
      </x:c>
      <x:c r="F5" s="9" t="n">
        <x:v>20250804</x:v>
      </x:c>
      <x:c r="G5" s="9" t="n">
        <x:v>80</x:v>
      </x:c>
      <x:c r="H5" s="9" t="n">
        <x:v>2</x:v>
      </x:c>
      <x:c r="I5" s="9" t="n">
        <x:v>75</x:v>
      </x:c>
    </x:row>
    <x:row r="6" ht="15" hidden="0" customHeight="1">
      <x:c r="A6" s="9" t="n">
        <x:v>5</x:v>
      </x:c>
      <x:c r="B6" s="9" t="n">
        <x:v>3</x:v>
      </x:c>
      <x:c r="C6" s="9" t="n">
        <x:v>20</x:v>
      </x:c>
      <x:c r="D6" s="9" t="n">
        <x:v>2001</x:v>
      </x:c>
      <x:c r="E6" s="9" t="n">
        <x:v>504</x:v>
      </x:c>
      <x:c r="F6" s="9" t="n">
        <x:v>20250203</x:v>
      </x:c>
      <x:c r="G6" s="9" t="n">
        <x:v>60</x:v>
      </x:c>
      <x:c r="H6" s="9" t="n">
        <x:v>3</x:v>
      </x:c>
      <x:c r="I6" s="9" t="n">
        <x:v>126</x:v>
      </x:c>
    </x:row>
    <x:row r="7" ht="15" hidden="0" customHeight="1">
      <x:c r="A7" s="9" t="n">
        <x:v>6</x:v>
      </x:c>
      <x:c r="B7" s="9" t="n">
        <x:v>3</x:v>
      </x:c>
      <x:c r="C7" s="9" t="n">
        <x:v>20</x:v>
      </x:c>
      <x:c r="D7" s="9" t="n">
        <x:v>2001</x:v>
      </x:c>
      <x:c r="E7" s="9" t="n">
        <x:v>505</x:v>
      </x:c>
      <x:c r="F7" s="9" t="n">
        <x:v>20250804</x:v>
      </x:c>
      <x:c r="G7" s="9" t="n">
        <x:v>60</x:v>
      </x:c>
      <x:c r="H7" s="9" t="n">
        <x:v>2</x:v>
      </x:c>
      <x:c r="I7" s="9" t="n">
        <x:v>84</x:v>
      </x:c>
    </x:row>
    <x:row r="8" ht="15" hidden="0" customHeight="1">
      <x:c r="A8" s="9" t="n">
        <x:v>7</x:v>
      </x:c>
      <x:c r="B8" s="9" t="n">
        <x:v>4</x:v>
      </x:c>
      <x:c r="C8" s="9" t="n">
        <x:v>30</x:v>
      </x:c>
      <x:c r="D8" s="9" t="n">
        <x:v>3001</x:v>
      </x:c>
      <x:c r="E8" s="9" t="n">
        <x:v>506</x:v>
      </x:c>
      <x:c r="F8" s="9" t="n">
        <x:v>20250203</x:v>
      </x:c>
      <x:c r="G8" s="9" t="n">
        <x:v>80</x:v>
      </x:c>
      <x:c r="H8" s="9" t="n">
        <x:v>2</x:v>
      </x:c>
      <x:c r="I8" s="9" t="n">
        <x:v>70</x:v>
      </x:c>
    </x:row>
    <x:row r="9" ht="15" hidden="0" customHeight="1">
      <x:c r="A9" s="9" t="n">
        <x:v>8</x:v>
      </x:c>
      <x:c r="B9" s="9" t="n">
        <x:v>4</x:v>
      </x:c>
      <x:c r="C9" s="9" t="n">
        <x:v>30</x:v>
      </x:c>
      <x:c r="D9" s="9" t="n">
        <x:v>3001</x:v>
      </x:c>
      <x:c r="E9" s="9" t="n">
        <x:v>504</x:v>
      </x:c>
      <x:c r="F9" s="9" t="n">
        <x:v>20250804</x:v>
      </x:c>
      <x:c r="G9" s="9" t="n">
        <x:v>60</x:v>
      </x:c>
      <x:c r="H9" s="9" t="n">
        <x:v>2</x:v>
      </x:c>
      <x:c r="I9" s="9" t="n">
        <x:v>66</x:v>
      </x:c>
    </x:row>
    <x:row r="10" ht="15" hidden="0" customHeight="1">
      <x:c r="A10" s="9" t="n">
        <x:v>9</x:v>
      </x:c>
      <x:c r="B10" s="9" t="n">
        <x:v>5</x:v>
      </x:c>
      <x:c r="C10" s="9" t="n">
        <x:v>10</x:v>
      </x:c>
      <x:c r="D10" s="9" t="n">
        <x:v>1001</x:v>
      </x:c>
      <x:c r="E10" s="9" t="n">
        <x:v>503</x:v>
      </x:c>
      <x:c r="F10" s="9" t="n">
        <x:v>20260202</x:v>
      </x:c>
      <x:c r="G10" s="9" t="n">
        <x:v>80</x:v>
      </x:c>
      <x:c r="H10" s="9" t="n">
        <x:v>2</x:v>
      </x:c>
      <x:c r="I10" s="9" t="n">
        <x:v>76</x:v>
      </x:c>
    </x:row>
    <x:row r="11" ht="15" hidden="0" customHeight="1">
      <x:c r="A11" s="9" t="n">
        <x:v>10</x:v>
      </x:c>
      <x:c r="B11" s="9" t="n">
        <x:v>5</x:v>
      </x:c>
      <x:c r="C11" s="9" t="n">
        <x:v>10</x:v>
      </x:c>
      <x:c r="D11" s="9" t="n">
        <x:v>1001</x:v>
      </x:c>
      <x:c r="E11" s="9" t="n">
        <x:v>502</x:v>
      </x:c>
      <x:c r="F11" s="9" t="n">
        <x:v>20260803</x:v>
      </x:c>
      <x:c r="G11" s="9" t="n">
        <x:v>80</x:v>
      </x:c>
      <x:c r="H11" s="9" t="n">
        <x:v>2</x:v>
      </x:c>
      <x:c r="I11" s="9" t="n">
        <x:v>74</x:v>
      </x:c>
    </x:row>
    <x:row r="12" ht="15" hidden="0" customHeight="1">
      <x:c r="A12" s="9" t="n">
        <x:v>11</x:v>
      </x:c>
      <x:c r="B12" s="9" t="n">
        <x:v>1</x:v>
      </x:c>
      <x:c r="C12" s="9" t="n">
        <x:v>10</x:v>
      </x:c>
      <x:c r="D12" s="9" t="n">
        <x:v>1001</x:v>
      </x:c>
      <x:c r="E12" s="9" t="n">
        <x:v>501</x:v>
      </x:c>
      <x:c r="F12" s="9" t="n">
        <x:v>20260202</x:v>
      </x:c>
      <x:c r="G12" s="9" t="n">
        <x:v>80</x:v>
      </x:c>
      <x:c r="H12" s="9" t="n">
        <x:v>2</x:v>
      </x:c>
      <x:c r="I12" s="9" t="n">
        <x:v>79</x:v>
      </x:c>
    </x:row>
    <x:row r="13" ht="15" hidden="0" customHeight="1">
      <x:c r="A13" s="9" t="n">
        <x:v>12</x:v>
      </x:c>
      <x:c r="B13" s="9" t="n">
        <x:v>3</x:v>
      </x:c>
      <x:c r="C13" s="9" t="n">
        <x:v>20</x:v>
      </x:c>
      <x:c r="D13" s="9" t="n">
        <x:v>2001</x:v>
      </x:c>
      <x:c r="E13" s="9" t="n">
        <x:v>504</x:v>
      </x:c>
      <x:c r="F13" s="9" t="n">
        <x:v>20260202</x:v>
      </x:c>
      <x:c r="G13" s="9" t="n">
        <x:v>60</x:v>
      </x:c>
      <x:c r="H13" s="9" t="n">
        <x:v>3</x:v>
      </x:c>
      <x:c r="I13" s="9" t="n">
        <x:v>132</x:v>
      </x:c>
    </x:row>
  </x:sheetData>
  <x:pageMargins left="0.7" right="0.7" top="0.75" bottom="0.75" header="0.3" footer="0.3"/>
  <x:tableParts count="1">
    <x:tablePart xmlns:r="http://schemas.openxmlformats.org/officeDocument/2006/relationships" r:id="R401823a55ab44ba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.630000114440918" hidden="0" customWidth="1"/>
    <x:col min="2" max="2" width="8.630000114440918" hidden="0" customWidth="1"/>
    <x:col min="3" max="3" width="11.25" hidden="0" customWidth="1"/>
    <x:col min="4" max="4" width="7.880000114440918" hidden="0" customWidth="1"/>
    <x:col min="5" max="5" width="9.630000114440918" hidden="0" customWidth="1"/>
  </x:cols>
  <x:sheetData>
    <x:row r="1" ht="15" hidden="0" customHeight="1">
      <x:c r="A1" s="12" t="str">
        <x:v>ProfessorKey</x:v>
      </x:c>
      <x:c r="B1" s="12" t="str">
        <x:v>ProfessorID</x:v>
      </x:c>
      <x:c r="C1" s="12" t="str">
        <x:v>ProfessorNome</x:v>
      </x:c>
      <x:c r="D1" s="12" t="str">
        <x:v>Titulacao</x:v>
      </x:c>
      <x:c r="E1" s="12" t="str">
        <x:v>Coordenador</x:v>
      </x:c>
    </x:row>
    <x:row r="2" ht="15" hidden="0" customHeight="1">
      <x:c r="A2" s="9" t="n">
        <x:v>1</x:v>
      </x:c>
      <x:c r="B2" s="9" t="n">
        <x:v>101</x:v>
      </x:c>
      <x:c r="C2" s="9" t="str">
        <x:v>Ana Souza</x:v>
      </x:c>
      <x:c r="D2" s="9" t="str">
        <x:v>Doutorado</x:v>
      </x:c>
      <x:c r="E2" s="9" t="str">
        <x:v>Sim</x:v>
      </x:c>
    </x:row>
    <x:row r="3" ht="15" hidden="0" customHeight="1">
      <x:c r="A3" s="9" t="n">
        <x:v>2</x:v>
      </x:c>
      <x:c r="B3" s="9" t="n">
        <x:v>102</x:v>
      </x:c>
      <x:c r="C3" s="9" t="str">
        <x:v>Bruno Lima</x:v>
      </x:c>
      <x:c r="D3" s="9" t="str">
        <x:v>Mestrado</x:v>
      </x:c>
      <x:c r="E3" s="9" t="str">
        <x:v>Nao</x:v>
      </x:c>
    </x:row>
    <x:row r="4" ht="15" hidden="0" customHeight="1">
      <x:c r="A4" s="9" t="n">
        <x:v>3</x:v>
      </x:c>
      <x:c r="B4" s="9" t="n">
        <x:v>103</x:v>
      </x:c>
      <x:c r="C4" s="9" t="str">
        <x:v>Carla Mendes</x:v>
      </x:c>
      <x:c r="D4" s="9" t="str">
        <x:v>Doutorado</x:v>
      </x:c>
      <x:c r="E4" s="9" t="str">
        <x:v>Sim</x:v>
      </x:c>
    </x:row>
    <x:row r="5" ht="15" hidden="0" customHeight="1">
      <x:c r="A5" s="9" t="n">
        <x:v>4</x:v>
      </x:c>
      <x:c r="B5" s="9" t="n">
        <x:v>104</x:v>
      </x:c>
      <x:c r="C5" s="9" t="str">
        <x:v>Diego Rocha</x:v>
      </x:c>
      <x:c r="D5" s="9" t="str">
        <x:v>Mestrado</x:v>
      </x:c>
      <x:c r="E5" s="9" t="str">
        <x:v>Nao</x:v>
      </x:c>
    </x:row>
    <x:row r="6" ht="15" hidden="0" customHeight="1">
      <x:c r="A6" s="9" t="n">
        <x:v>5</x:v>
      </x:c>
      <x:c r="B6" s="9" t="n">
        <x:v>105</x:v>
      </x:c>
      <x:c r="C6" s="9" t="str">
        <x:v>Elisa Campos</x:v>
      </x:c>
      <x:c r="D6" s="9" t="str">
        <x:v>Doutorado</x:v>
      </x:c>
      <x:c r="E6" s="9" t="str">
        <x:v>Nao</x:v>
      </x:c>
    </x:row>
  </x:sheetData>
  <x:pageMargins left="0.7" right="0.7" top="0.75" bottom="0.75" header="0.3" footer="0.3"/>
  <x:tableParts count="1">
    <x:tablePart xmlns:r="http://schemas.openxmlformats.org/officeDocument/2006/relationships" r:id="R89500a755d744d5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.130000114440918" hidden="0" customWidth="1"/>
    <x:col min="2" max="2" width="12.130000114440918" hidden="0" customWidth="1"/>
    <x:col min="3" max="3" width="14.880000114440918" hidden="0" customWidth="1"/>
    <x:col min="4" max="4" width="6.130000114440918" hidden="0" customWidth="1"/>
  </x:cols>
  <x:sheetData>
    <x:row r="1" ht="15" hidden="0" customHeight="1">
      <x:c r="A1" s="12" t="str">
        <x:v>DepartamentoKey</x:v>
      </x:c>
      <x:c r="B1" s="12" t="str">
        <x:v>DepartamentoID</x:v>
      </x:c>
      <x:c r="C1" s="12" t="str">
        <x:v>DepartamentoNome</x:v>
      </x:c>
      <x:c r="D1" s="12" t="str">
        <x:v>Campus</x:v>
      </x:c>
    </x:row>
    <x:row r="2" ht="15" hidden="0" customHeight="1">
      <x:c r="A2" s="9" t="n">
        <x:v>10</x:v>
      </x:c>
      <x:c r="B2" s="9" t="n">
        <x:v>1</x:v>
      </x:c>
      <x:c r="C2" s="9" t="str">
        <x:v>Computacao</x:v>
      </x:c>
      <x:c r="D2" s="9" t="str">
        <x:v>Paulista</x:v>
      </x:c>
    </x:row>
    <x:row r="3" ht="15" hidden="0" customHeight="1">
      <x:c r="A3" s="9" t="n">
        <x:v>20</x:v>
      </x:c>
      <x:c r="B3" s="9" t="n">
        <x:v>2</x:v>
      </x:c>
      <x:c r="C3" s="9" t="str">
        <x:v>Gestao</x:v>
      </x:c>
      <x:c r="D3" s="9" t="str">
        <x:v>Centro</x:v>
      </x:c>
    </x:row>
    <x:row r="4" ht="15" hidden="0" customHeight="1">
      <x:c r="A4" s="9" t="n">
        <x:v>30</x:v>
      </x:c>
      <x:c r="B4" s="9" t="n">
        <x:v>3</x:v>
      </x:c>
      <x:c r="C4" s="9" t="str">
        <x:v>Engenharia</x:v>
      </x:c>
      <x:c r="D4" s="9" t="str">
        <x:v>Norte</x:v>
      </x:c>
    </x:row>
  </x:sheetData>
  <x:pageMargins left="0.7" right="0.7" top="0.75" bottom="0.75" header="0.3" footer="0.3"/>
  <x:tableParts count="1">
    <x:tablePart xmlns:r="http://schemas.openxmlformats.org/officeDocument/2006/relationships" r:id="R9b6af14e1102465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6" hidden="0" customWidth="1"/>
    <x:col min="3" max="3" width="17" hidden="0" customWidth="1"/>
    <x:col min="4" max="4" width="9" hidden="0" customWidth="1"/>
  </x:cols>
  <x:sheetData>
    <x:row r="1" ht="15" hidden="0" customHeight="1">
      <x:c r="A1" s="12" t="str">
        <x:v>CursoKey</x:v>
      </x:c>
      <x:c r="B1" s="12" t="str">
        <x:v>CursoID</x:v>
      </x:c>
      <x:c r="C1" s="12" t="str">
        <x:v>CursoNome</x:v>
      </x:c>
      <x:c r="D1" s="12" t="str">
        <x:v>Nivel</x:v>
      </x:c>
    </x:row>
    <x:row r="2" ht="15" hidden="0" customHeight="1">
      <x:c r="A2" s="9" t="n">
        <x:v>1001</x:v>
      </x:c>
      <x:c r="B2" s="9" t="n">
        <x:v>11</x:v>
      </x:c>
      <x:c r="C2" s="9" t="str">
        <x:v>Ciencia de Dados</x:v>
      </x:c>
      <x:c r="D2" s="9" t="str">
        <x:v>Tecnologo</x:v>
      </x:c>
    </x:row>
    <x:row r="3" ht="15" hidden="0" customHeight="1">
      <x:c r="A3" s="9" t="n">
        <x:v>1002</x:v>
      </x:c>
      <x:c r="B3" s="9" t="n">
        <x:v>12</x:v>
      </x:c>
      <x:c r="C3" s="9" t="str">
        <x:v>Sistemas de Informacao</x:v>
      </x:c>
      <x:c r="D3" s="9" t="str">
        <x:v>Bacharelado</x:v>
      </x:c>
    </x:row>
    <x:row r="4" ht="15" hidden="0" customHeight="1">
      <x:c r="A4" s="9" t="n">
        <x:v>2001</x:v>
      </x:c>
      <x:c r="B4" s="9" t="n">
        <x:v>21</x:v>
      </x:c>
      <x:c r="C4" s="9" t="str">
        <x:v>Administracao</x:v>
      </x:c>
      <x:c r="D4" s="9" t="str">
        <x:v>Bacharelado</x:v>
      </x:c>
    </x:row>
    <x:row r="5" ht="15" hidden="0" customHeight="1">
      <x:c r="A5" s="9" t="n">
        <x:v>3001</x:v>
      </x:c>
      <x:c r="B5" s="9" t="n">
        <x:v>31</x:v>
      </x:c>
      <x:c r="C5" s="9" t="str">
        <x:v>Engenharia de Producao</x:v>
      </x:c>
      <x:c r="D5" s="9" t="str">
        <x:v>Bacharelado</x:v>
      </x:c>
    </x:row>
  </x:sheetData>
  <x:pageMargins left="0.7" right="0.7" top="0.75" bottom="0.75" header="0.3" footer="0.3"/>
  <x:tableParts count="1">
    <x:tablePart xmlns:r="http://schemas.openxmlformats.org/officeDocument/2006/relationships" r:id="R83d38bb67c3f47cd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.75" hidden="0" customWidth="1"/>
    <x:col min="2" max="2" width="8.75" hidden="0" customWidth="1"/>
    <x:col min="3" max="3" width="15.380000114440918" hidden="0" customWidth="1"/>
    <x:col min="4" max="4" width="14.380000114440918" hidden="0" customWidth="1"/>
  </x:cols>
  <x:sheetData>
    <x:row r="1" ht="15" hidden="0" customHeight="1">
      <x:c r="A1" s="12" t="str">
        <x:v>DisciplinaKey</x:v>
      </x:c>
      <x:c r="B1" s="12" t="str">
        <x:v>DisciplinaID</x:v>
      </x:c>
      <x:c r="C1" s="12" t="str">
        <x:v>DisciplinaNome</x:v>
      </x:c>
      <x:c r="D1" s="12" t="str">
        <x:v>AreaConhecimento</x:v>
      </x:c>
    </x:row>
    <x:row r="2" ht="15" hidden="0" customHeight="1">
      <x:c r="A2" s="9" t="n">
        <x:v>501</x:v>
      </x:c>
      <x:c r="B2" s="9" t="n">
        <x:v>1</x:v>
      </x:c>
      <x:c r="C2" s="9" t="str">
        <x:v>Banco de Dados</x:v>
      </x:c>
      <x:c r="D2" s="9" t="str">
        <x:v>Dados</x:v>
      </x:c>
    </x:row>
    <x:row r="3" ht="15" hidden="0" customHeight="1">
      <x:c r="A3" s="9" t="n">
        <x:v>502</x:v>
      </x:c>
      <x:c r="B3" s="9" t="n">
        <x:v>2</x:v>
      </x:c>
      <x:c r="C3" s="9" t="str">
        <x:v>Programacao</x:v>
      </x:c>
      <x:c r="D3" s="9" t="str">
        <x:v>Computacao</x:v>
      </x:c>
    </x:row>
    <x:row r="4" ht="15" hidden="0" customHeight="1">
      <x:c r="A4" s="9" t="n">
        <x:v>503</x:v>
      </x:c>
      <x:c r="B4" s="9" t="n">
        <x:v>3</x:v>
      </x:c>
      <x:c r="C4" s="9" t="str">
        <x:v>Machine Learning</x:v>
      </x:c>
      <x:c r="D4" s="9" t="str">
        <x:v>Inteligencia Artificial</x:v>
      </x:c>
    </x:row>
    <x:row r="5" ht="15" hidden="0" customHeight="1">
      <x:c r="A5" s="9" t="n">
        <x:v>504</x:v>
      </x:c>
      <x:c r="B5" s="9" t="n">
        <x:v>4</x:v>
      </x:c>
      <x:c r="C5" s="9" t="str">
        <x:v>Gestao de Projetos</x:v>
      </x:c>
      <x:c r="D5" s="9" t="str">
        <x:v>Gestao</x:v>
      </x:c>
    </x:row>
    <x:row r="6" ht="15" hidden="0" customHeight="1">
      <x:c r="A6" s="9" t="n">
        <x:v>505</x:v>
      </x:c>
      <x:c r="B6" s="9" t="n">
        <x:v>5</x:v>
      </x:c>
      <x:c r="C6" s="9" t="str">
        <x:v>Financas Corporativas</x:v>
      </x:c>
      <x:c r="D6" s="9" t="str">
        <x:v>Financas</x:v>
      </x:c>
    </x:row>
    <x:row r="7" ht="15" hidden="0" customHeight="1">
      <x:c r="A7" s="9" t="n">
        <x:v>506</x:v>
      </x:c>
      <x:c r="B7" s="9" t="n">
        <x:v>6</x:v>
      </x:c>
      <x:c r="C7" s="9" t="str">
        <x:v>Processos Industriais</x:v>
      </x:c>
      <x:c r="D7" s="9" t="str">
        <x:v>Engenharia</x:v>
      </x:c>
    </x:row>
  </x:sheetData>
  <x:pageMargins left="0.7" right="0.7" top="0.75" bottom="0.75" header="0.3" footer="0.3"/>
  <x:tableParts count="1">
    <x:tablePart xmlns:r="http://schemas.openxmlformats.org/officeDocument/2006/relationships" r:id="R9ab386171c074174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.380000114440918" hidden="0" customWidth="1"/>
    <x:col min="2" max="2" width="8.380000114440918" hidden="0" customWidth="1"/>
    <x:col min="3" max="3" width="4" hidden="0" customWidth="1"/>
    <x:col min="4" max="4" width="7" hidden="0" customWidth="1"/>
    <x:col min="5" max="5" width="9.130000114440918" hidden="0" customWidth="1"/>
    <x:col min="6" max="6" width="6.880000114440918" hidden="0" customWidth="1"/>
    <x:col min="7" max="7" width="6.380000114440918" hidden="0" customWidth="1"/>
  </x:cols>
  <x:sheetData>
    <x:row r="1" ht="15" hidden="0" customHeight="1">
      <x:c r="A1" s="12" t="str">
        <x:v>DataKey</x:v>
      </x:c>
      <x:c r="B1" s="12" t="str">
        <x:v>Data</x:v>
      </x:c>
      <x:c r="C1" s="12" t="str">
        <x:v>Ano</x:v>
      </x:c>
      <x:c r="D1" s="12" t="str">
        <x:v>Semestre</x:v>
      </x:c>
      <x:c r="E1" s="12" t="str">
        <x:v>MesNumero</x:v>
      </x:c>
      <x:c r="F1" s="12" t="str">
        <x:v>Mes</x:v>
      </x:c>
      <x:c r="G1" s="12" t="str">
        <x:v>AnoMes</x:v>
      </x:c>
    </x:row>
    <x:row r="2" ht="15" hidden="0" customHeight="1">
      <x:c r="A2" s="9" t="n">
        <x:v>20250203</x:v>
      </x:c>
      <x:c r="B2" s="9" t="str">
        <x:v>2025-02-03</x:v>
      </x:c>
      <x:c r="C2" s="9" t="n">
        <x:v>2025</x:v>
      </x:c>
      <x:c r="D2" s="9" t="n">
        <x:v>1</x:v>
      </x:c>
      <x:c r="E2" s="9" t="n">
        <x:v>2</x:v>
      </x:c>
      <x:c r="F2" s="9" t="str">
        <x:v>Fevereiro</x:v>
      </x:c>
      <x:c r="G2" s="9" t="str">
        <x:v>2025-02</x:v>
      </x:c>
    </x:row>
    <x:row r="3" ht="15" hidden="0" customHeight="1">
      <x:c r="A3" s="9" t="n">
        <x:v>20250804</x:v>
      </x:c>
      <x:c r="B3" s="9" t="str">
        <x:v>2025-08-04</x:v>
      </x:c>
      <x:c r="C3" s="9" t="n">
        <x:v>2025</x:v>
      </x:c>
      <x:c r="D3" s="9" t="n">
        <x:v>2</x:v>
      </x:c>
      <x:c r="E3" s="9" t="n">
        <x:v>8</x:v>
      </x:c>
      <x:c r="F3" s="9" t="str">
        <x:v>Agosto</x:v>
      </x:c>
      <x:c r="G3" s="9" t="str">
        <x:v>2025-08</x:v>
      </x:c>
    </x:row>
    <x:row r="4" ht="15" hidden="0" customHeight="1">
      <x:c r="A4" s="9" t="n">
        <x:v>20260202</x:v>
      </x:c>
      <x:c r="B4" s="9" t="str">
        <x:v>2026-02-02</x:v>
      </x:c>
      <x:c r="C4" s="9" t="n">
        <x:v>2026</x:v>
      </x:c>
      <x:c r="D4" s="9" t="n">
        <x:v>1</x:v>
      </x:c>
      <x:c r="E4" s="9" t="n">
        <x:v>2</x:v>
      </x:c>
      <x:c r="F4" s="9" t="str">
        <x:v>Fevereiro</x:v>
      </x:c>
      <x:c r="G4" s="9" t="str">
        <x:v>2026-02</x:v>
      </x:c>
    </x:row>
    <x:row r="5" ht="15" hidden="0" customHeight="1">
      <x:c r="A5" s="9" t="n">
        <x:v>20260803</x:v>
      </x:c>
      <x:c r="B5" s="9" t="str">
        <x:v>2026-08-03</x:v>
      </x:c>
      <x:c r="C5" s="9" t="n">
        <x:v>2026</x:v>
      </x:c>
      <x:c r="D5" s="9" t="n">
        <x:v>2</x:v>
      </x:c>
      <x:c r="E5" s="9" t="n">
        <x:v>8</x:v>
      </x:c>
      <x:c r="F5" s="9" t="str">
        <x:v>Agosto</x:v>
      </x:c>
      <x:c r="G5" s="9" t="str">
        <x:v>2026-08</x:v>
      </x:c>
    </x:row>
  </x:sheetData>
  <x:pageMargins left="0.7" right="0.7" top="0.75" bottom="0.75" header="0.3" footer="0.3"/>
  <x:tableParts count="1">
    <x:tablePart xmlns:r="http://schemas.openxmlformats.org/officeDocument/2006/relationships" r:id="R983c6742cf094d25"/>
  </x:tableParts>
</x:worksheet>
</file>