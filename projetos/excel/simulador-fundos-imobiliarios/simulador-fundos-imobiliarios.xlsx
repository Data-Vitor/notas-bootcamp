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Apoio" sheetId="2" state="visible" r:id="rId2"/>
  </sheets>
  <definedNames>
    <definedName name="aporte">Simulador!$C$7</definedName>
    <definedName name="prazo_anos">Simulador!$C$8</definedName>
    <definedName name="taxa_mensal">Simulador!$C$9</definedName>
    <definedName name="salario">Simulador!$C$23</definedName>
    <definedName name="pct_aporte">Simulador!$C$24</definedName>
    <definedName name="perfil">Simulador!$C$29</definedName>
    <definedName name="lista_perfis">Apoio!$F$2:$F$4</definedName>
    <definedName name="tabela_perfis">Apoio!$A$2:$D$19</definedName>
    <definedName name="_xlnm.Print_Area" localSheetId="0">'Simulador'!$A$1:$O$38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B6B8C"/>
      <sz val="9"/>
    </font>
    <font>
      <b val="1"/>
      <color rgb="00FFFFFF"/>
      <sz val="1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1F4B"/>
      </patternFill>
    </fill>
    <fill>
      <patternFill patternType="solid">
        <fgColor rgb="00FFF4D6"/>
      </patternFill>
    </fill>
    <fill>
      <patternFill patternType="solid">
        <fgColor rgb="00E7E9EE"/>
      </patternFill>
    </fill>
  </fills>
  <borders count="2">
    <border>
      <left/>
      <right/>
      <top/>
      <bottom/>
      <diagonal/>
    </border>
    <border>
      <left style="thin">
        <color rgb="00BFC5D2"/>
      </left>
      <right style="thin">
        <color rgb="00BFC5D2"/>
      </right>
      <top style="thin">
        <color rgb="00BFC5D2"/>
      </top>
      <bottom style="thin">
        <color rgb="00BFC5D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indent="1"/>
    </xf>
    <xf numFmtId="0" fontId="0" fillId="0" borderId="1" pivotButton="0" quotePrefix="0" xfId="0"/>
    <xf numFmtId="164" fontId="0" fillId="3" borderId="1" pivotButton="0" quotePrefix="0" xfId="0"/>
    <xf numFmtId="1" fontId="0" fillId="3" borderId="1" pivotButton="0" quotePrefix="0" xfId="0"/>
    <xf numFmtId="10" fontId="0" fillId="3" borderId="1" pivotButton="0" quotePrefix="0" xfId="0"/>
    <xf numFmtId="0" fontId="4" fillId="0" borderId="1" pivotButton="0" quotePrefix="0" xfId="0"/>
    <xf numFmtId="164" fontId="4" fillId="4" borderId="1" pivotButton="0" quotePrefix="0" xfId="0"/>
    <xf numFmtId="164" fontId="0" fillId="4" borderId="1" pivotButton="0" quotePrefix="0" xfId="0"/>
    <xf numFmtId="1" fontId="0" fillId="0" borderId="1" pivotButton="0" quotePrefix="0" xfId="0"/>
    <xf numFmtId="1" fontId="0" fillId="4" borderId="1" pivotButton="0" quotePrefix="0" xfId="0"/>
    <xf numFmtId="9" fontId="0" fillId="3" borderId="1" pivotButton="0" quotePrefix="0" xfId="0"/>
    <xf numFmtId="10" fontId="0" fillId="4" borderId="1" pivotButton="0" quotePrefix="0" xfId="0"/>
    <xf numFmtId="0" fontId="4" fillId="3" borderId="1" pivotButton="0" quotePrefix="0" xfId="0"/>
    <xf numFmtId="9" fontId="0" fillId="4" borderId="1" pivotButton="0" quotePrefix="0" xfId="0"/>
    <xf numFmtId="9" fontId="4" fillId="4" borderId="1" pivotButton="0" quotePrefix="0" xfId="0"/>
    <xf numFmtId="0" fontId="5" fillId="2" borderId="0" pivotButton="0" quotePrefix="0" xfId="0"/>
    <xf numFmtId="0" fontId="4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Divisão do aporte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'Simulador'!$B$31:$B$36</f>
            </numRef>
          </cat>
          <val>
            <numRef>
              <f>'Simulador'!$D$31:$D$36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18" customWidth="1" min="5" max="5"/>
    <col width="3" customWidth="1" min="6" max="6"/>
    <col width="3" customWidth="1" min="7" max="7"/>
  </cols>
  <sheetData>
    <row r="2">
      <c r="B2" s="1" t="inlineStr">
        <is>
          <t>SIMULADOR DE FUNDOS IMOBILIÁRIOS</t>
        </is>
      </c>
    </row>
    <row r="3"/>
    <row r="4">
      <c r="B4" s="2" t="inlineStr">
        <is>
          <t>Células amarelas: você edita. Células cinzas: calculadas, não edite. Valores de exemplo, não é recomendação de investimento.</t>
        </is>
      </c>
    </row>
    <row r="6">
      <c r="B6" s="3" t="inlineStr">
        <is>
          <t>1. Simulação</t>
        </is>
      </c>
    </row>
    <row r="7">
      <c r="B7" s="4" t="inlineStr">
        <is>
          <t>Aporte mensal (R$)</t>
        </is>
      </c>
      <c r="C7" s="5" t="n">
        <v>1500</v>
      </c>
    </row>
    <row r="8">
      <c r="B8" s="4" t="inlineStr">
        <is>
          <t>Prazo (anos)</t>
        </is>
      </c>
      <c r="C8" s="6" t="n">
        <v>10</v>
      </c>
    </row>
    <row r="9">
      <c r="B9" s="4" t="inlineStr">
        <is>
          <t>Taxa de rendimento mensal</t>
        </is>
      </c>
      <c r="C9" s="7" t="n">
        <v>0.008</v>
      </c>
    </row>
    <row r="10">
      <c r="B10" s="8" t="inlineStr">
        <is>
          <t>Patrimônio acumulado (R$)</t>
        </is>
      </c>
      <c r="C10" s="9">
        <f>FV(taxa_mensal,prazo_anos*12,-aporte)</f>
        <v/>
      </c>
    </row>
    <row r="11">
      <c r="B11" s="8" t="inlineStr">
        <is>
          <t>Dividendos por mês (R$)</t>
        </is>
      </c>
      <c r="C11" s="9">
        <f>C10*taxa_mensal</f>
        <v/>
      </c>
    </row>
    <row r="12">
      <c r="B12" s="4" t="inlineStr">
        <is>
          <t>Total aportado (R$)</t>
        </is>
      </c>
      <c r="C12" s="10">
        <f>aporte*prazo_anos*12</f>
        <v/>
      </c>
    </row>
    <row r="14">
      <c r="B14" s="3" t="inlineStr">
        <is>
          <t>2. Cenários (mesmo aporte e taxa)</t>
        </is>
      </c>
    </row>
    <row r="15">
      <c r="B15" s="8" t="inlineStr">
        <is>
          <t>Prazo (anos)</t>
        </is>
      </c>
      <c r="C15" s="8" t="inlineStr">
        <is>
          <t>Meses</t>
        </is>
      </c>
      <c r="D15" s="8" t="inlineStr">
        <is>
          <t>Patrimônio (R$)</t>
        </is>
      </c>
      <c r="E15" s="8" t="inlineStr">
        <is>
          <t>Dividendos/mês (R$)</t>
        </is>
      </c>
    </row>
    <row r="16">
      <c r="B16" s="11" t="n">
        <v>2</v>
      </c>
      <c r="C16" s="12">
        <f>B16*12</f>
        <v/>
      </c>
      <c r="D16" s="10">
        <f>FV($C$9,C16,-$C$7)</f>
        <v/>
      </c>
      <c r="E16" s="10">
        <f>D16*$C$9</f>
        <v/>
      </c>
    </row>
    <row r="17">
      <c r="B17" s="11" t="n">
        <v>5</v>
      </c>
      <c r="C17" s="12">
        <f>B17*12</f>
        <v/>
      </c>
      <c r="D17" s="10">
        <f>FV($C$9,C17,-$C$7)</f>
        <v/>
      </c>
      <c r="E17" s="10">
        <f>D17*$C$9</f>
        <v/>
      </c>
    </row>
    <row r="18">
      <c r="B18" s="11" t="n">
        <v>10</v>
      </c>
      <c r="C18" s="12">
        <f>B18*12</f>
        <v/>
      </c>
      <c r="D18" s="10">
        <f>FV($C$9,C18,-$C$7)</f>
        <v/>
      </c>
      <c r="E18" s="10">
        <f>D18*$C$9</f>
        <v/>
      </c>
    </row>
    <row r="19">
      <c r="B19" s="11" t="n">
        <v>20</v>
      </c>
      <c r="C19" s="12">
        <f>B19*12</f>
        <v/>
      </c>
      <c r="D19" s="10">
        <f>FV($C$9,C19,-$C$7)</f>
        <v/>
      </c>
      <c r="E19" s="10">
        <f>D19*$C$9</f>
        <v/>
      </c>
    </row>
    <row r="20">
      <c r="B20" s="11" t="n">
        <v>30</v>
      </c>
      <c r="C20" s="12">
        <f>B20*12</f>
        <v/>
      </c>
      <c r="D20" s="10">
        <f>FV($C$9,C20,-$C$7)</f>
        <v/>
      </c>
      <c r="E20" s="10">
        <f>D20*$C$9</f>
        <v/>
      </c>
    </row>
    <row r="22">
      <c r="B22" s="3" t="inlineStr">
        <is>
          <t>3. Configurações</t>
        </is>
      </c>
    </row>
    <row r="23">
      <c r="B23" s="4" t="inlineStr">
        <is>
          <t>Salário mensal (R$, exemplo)</t>
        </is>
      </c>
      <c r="C23" s="5" t="n">
        <v>5000</v>
      </c>
    </row>
    <row r="24">
      <c r="B24" s="4" t="inlineStr">
        <is>
          <t>% do salário sugerido para aporte</t>
        </is>
      </c>
      <c r="C24" s="13" t="n">
        <v>0.3</v>
      </c>
    </row>
    <row r="25">
      <c r="B25" s="4" t="inlineStr">
        <is>
          <t>Aporte sugerido (R$)</t>
        </is>
      </c>
      <c r="C25" s="10">
        <f>salario*pct_aporte</f>
        <v/>
      </c>
    </row>
    <row r="26">
      <c r="B26" s="4" t="inlineStr">
        <is>
          <t>Rendimento da carteira (a.a. equivalente)</t>
        </is>
      </c>
      <c r="C26" s="14">
        <f>(1+taxa_mensal)^12-1</f>
        <v/>
      </c>
    </row>
    <row r="28">
      <c r="B28" s="3" t="inlineStr">
        <is>
          <t>4. Divisão do aporte por perfil</t>
        </is>
      </c>
    </row>
    <row r="29">
      <c r="B29" s="4" t="inlineStr">
        <is>
          <t>Perfil de investidor</t>
        </is>
      </c>
      <c r="C29" s="15" t="inlineStr">
        <is>
          <t>Moderado</t>
        </is>
      </c>
    </row>
    <row r="30">
      <c r="B30" s="8" t="inlineStr">
        <is>
          <t>Tipo de fundo</t>
        </is>
      </c>
      <c r="C30" s="8" t="inlineStr">
        <is>
          <t>Percentual</t>
        </is>
      </c>
      <c r="D30" s="8" t="inlineStr">
        <is>
          <t>Valor (R$)</t>
        </is>
      </c>
    </row>
    <row r="31">
      <c r="B31" s="4" t="inlineStr">
        <is>
          <t>Tijolo (lajes e escritórios)</t>
        </is>
      </c>
      <c r="C31" s="16">
        <f>VLOOKUP(perfil&amp;"|"&amp;B31,tabela_perfis,4,FALSE)</f>
        <v/>
      </c>
      <c r="D31" s="10">
        <f>aporte*C31</f>
        <v/>
      </c>
    </row>
    <row r="32">
      <c r="B32" s="4" t="inlineStr">
        <is>
          <t>Logístico</t>
        </is>
      </c>
      <c r="C32" s="16">
        <f>VLOOKUP(perfil&amp;"|"&amp;B32,tabela_perfis,4,FALSE)</f>
        <v/>
      </c>
      <c r="D32" s="10">
        <f>aporte*C32</f>
        <v/>
      </c>
    </row>
    <row r="33">
      <c r="B33" s="4" t="inlineStr">
        <is>
          <t>Shoppings</t>
        </is>
      </c>
      <c r="C33" s="16">
        <f>VLOOKUP(perfil&amp;"|"&amp;B33,tabela_perfis,4,FALSE)</f>
        <v/>
      </c>
      <c r="D33" s="10">
        <f>aporte*C33</f>
        <v/>
      </c>
    </row>
    <row r="34">
      <c r="B34" s="4" t="inlineStr">
        <is>
          <t>Papel (CRI)</t>
        </is>
      </c>
      <c r="C34" s="16">
        <f>VLOOKUP(perfil&amp;"|"&amp;B34,tabela_perfis,4,FALSE)</f>
        <v/>
      </c>
      <c r="D34" s="10">
        <f>aporte*C34</f>
        <v/>
      </c>
    </row>
    <row r="35">
      <c r="B35" s="4" t="inlineStr">
        <is>
          <t>Fundo de fundos</t>
        </is>
      </c>
      <c r="C35" s="16">
        <f>VLOOKUP(perfil&amp;"|"&amp;B35,tabela_perfis,4,FALSE)</f>
        <v/>
      </c>
      <c r="D35" s="10">
        <f>aporte*C35</f>
        <v/>
      </c>
    </row>
    <row r="36">
      <c r="B36" s="4" t="inlineStr">
        <is>
          <t>Híbrido</t>
        </is>
      </c>
      <c r="C36" s="16">
        <f>VLOOKUP(perfil&amp;"|"&amp;B36,tabela_perfis,4,FALSE)</f>
        <v/>
      </c>
      <c r="D36" s="10">
        <f>aporte*C36</f>
        <v/>
      </c>
    </row>
    <row r="37">
      <c r="B37" s="8" t="inlineStr">
        <is>
          <t>Total</t>
        </is>
      </c>
      <c r="C37" s="17">
        <f>SUM(C31:C36)</f>
        <v/>
      </c>
      <c r="D37" s="9">
        <f>SUM(D31:D36)</f>
        <v/>
      </c>
    </row>
  </sheetData>
  <mergeCells count="5">
    <mergeCell ref="B6:E6"/>
    <mergeCell ref="B2:E3"/>
    <mergeCell ref="B28:E28"/>
    <mergeCell ref="B22:E22"/>
    <mergeCell ref="B14:E14"/>
  </mergeCells>
  <dataValidations count="1">
    <dataValidation sqref="C29" showDropDown="0" showInputMessage="0" showErrorMessage="0" allowBlank="0" type="list">
      <formula1>=lista_perfis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0" customWidth="1" min="3" max="3"/>
    <col width="12" customWidth="1" min="4" max="4"/>
    <col width="16" customWidth="1" min="6" max="6"/>
  </cols>
  <sheetData>
    <row r="1">
      <c r="A1" s="18" t="inlineStr">
        <is>
          <t>Chave</t>
        </is>
      </c>
      <c r="B1" s="18" t="inlineStr">
        <is>
          <t>Perfil</t>
        </is>
      </c>
      <c r="C1" s="18" t="inlineStr">
        <is>
          <t>Tipo de fundo</t>
        </is>
      </c>
      <c r="D1" s="18" t="inlineStr">
        <is>
          <t>Percentual</t>
        </is>
      </c>
      <c r="F1" s="19" t="inlineStr">
        <is>
          <t>Perfis</t>
        </is>
      </c>
    </row>
    <row r="2">
      <c r="A2">
        <f>B2&amp;"|"&amp;C2</f>
        <v/>
      </c>
      <c r="B2" t="inlineStr">
        <is>
          <t>Conservador</t>
        </is>
      </c>
      <c r="C2" t="inlineStr">
        <is>
          <t>Tijolo (lajes e escritórios)</t>
        </is>
      </c>
      <c r="D2" s="20" t="n">
        <v>0.1</v>
      </c>
      <c r="F2" t="inlineStr">
        <is>
          <t>Conservador</t>
        </is>
      </c>
    </row>
    <row r="3">
      <c r="A3">
        <f>B3&amp;"|"&amp;C3</f>
        <v/>
      </c>
      <c r="B3" t="inlineStr">
        <is>
          <t>Conservador</t>
        </is>
      </c>
      <c r="C3" t="inlineStr">
        <is>
          <t>Logístico</t>
        </is>
      </c>
      <c r="D3" s="20" t="n">
        <v>0.3</v>
      </c>
      <c r="F3" t="inlineStr">
        <is>
          <t>Moderado</t>
        </is>
      </c>
    </row>
    <row r="4">
      <c r="A4">
        <f>B4&amp;"|"&amp;C4</f>
        <v/>
      </c>
      <c r="B4" t="inlineStr">
        <is>
          <t>Conservador</t>
        </is>
      </c>
      <c r="C4" t="inlineStr">
        <is>
          <t>Shoppings</t>
        </is>
      </c>
      <c r="D4" s="20" t="n">
        <v>0.1</v>
      </c>
      <c r="F4" t="inlineStr">
        <is>
          <t>Arrojado</t>
        </is>
      </c>
    </row>
    <row r="5">
      <c r="A5">
        <f>B5&amp;"|"&amp;C5</f>
        <v/>
      </c>
      <c r="B5" t="inlineStr">
        <is>
          <t>Conservador</t>
        </is>
      </c>
      <c r="C5" t="inlineStr">
        <is>
          <t>Papel (CRI)</t>
        </is>
      </c>
      <c r="D5" s="20" t="n">
        <v>0.3</v>
      </c>
    </row>
    <row r="6">
      <c r="A6">
        <f>B6&amp;"|"&amp;C6</f>
        <v/>
      </c>
      <c r="B6" t="inlineStr">
        <is>
          <t>Conservador</t>
        </is>
      </c>
      <c r="C6" t="inlineStr">
        <is>
          <t>Fundo de fundos</t>
        </is>
      </c>
      <c r="D6" s="20" t="n">
        <v>0.15</v>
      </c>
    </row>
    <row r="7">
      <c r="A7">
        <f>B7&amp;"|"&amp;C7</f>
        <v/>
      </c>
      <c r="B7" t="inlineStr">
        <is>
          <t>Conservador</t>
        </is>
      </c>
      <c r="C7" t="inlineStr">
        <is>
          <t>Híbrido</t>
        </is>
      </c>
      <c r="D7" s="20" t="n">
        <v>0.05</v>
      </c>
      <c r="F7" t="inlineStr">
        <is>
          <t>Os percentuais são exemplos meus (não vêm de nenhuma fonte oficial) e cada perfil soma 100%.</t>
        </is>
      </c>
    </row>
    <row r="8">
      <c r="A8">
        <f>B8&amp;"|"&amp;C8</f>
        <v/>
      </c>
      <c r="B8" t="inlineStr">
        <is>
          <t>Moderado</t>
        </is>
      </c>
      <c r="C8" t="inlineStr">
        <is>
          <t>Tijolo (lajes e escritórios)</t>
        </is>
      </c>
      <c r="D8" s="20" t="n">
        <v>0.2</v>
      </c>
    </row>
    <row r="9">
      <c r="A9">
        <f>B9&amp;"|"&amp;C9</f>
        <v/>
      </c>
      <c r="B9" t="inlineStr">
        <is>
          <t>Moderado</t>
        </is>
      </c>
      <c r="C9" t="inlineStr">
        <is>
          <t>Logístico</t>
        </is>
      </c>
      <c r="D9" s="20" t="n">
        <v>0.2</v>
      </c>
    </row>
    <row r="10">
      <c r="A10">
        <f>B10&amp;"|"&amp;C10</f>
        <v/>
      </c>
      <c r="B10" t="inlineStr">
        <is>
          <t>Moderado</t>
        </is>
      </c>
      <c r="C10" t="inlineStr">
        <is>
          <t>Shoppings</t>
        </is>
      </c>
      <c r="D10" s="20" t="n">
        <v>0.15</v>
      </c>
    </row>
    <row r="11">
      <c r="A11">
        <f>B11&amp;"|"&amp;C11</f>
        <v/>
      </c>
      <c r="B11" t="inlineStr">
        <is>
          <t>Moderado</t>
        </is>
      </c>
      <c r="C11" t="inlineStr">
        <is>
          <t>Papel (CRI)</t>
        </is>
      </c>
      <c r="D11" s="20" t="n">
        <v>0.25</v>
      </c>
    </row>
    <row r="12">
      <c r="A12">
        <f>B12&amp;"|"&amp;C12</f>
        <v/>
      </c>
      <c r="B12" t="inlineStr">
        <is>
          <t>Moderado</t>
        </is>
      </c>
      <c r="C12" t="inlineStr">
        <is>
          <t>Fundo de fundos</t>
        </is>
      </c>
      <c r="D12" s="20" t="n">
        <v>0.1</v>
      </c>
    </row>
    <row r="13">
      <c r="A13">
        <f>B13&amp;"|"&amp;C13</f>
        <v/>
      </c>
      <c r="B13" t="inlineStr">
        <is>
          <t>Moderado</t>
        </is>
      </c>
      <c r="C13" t="inlineStr">
        <is>
          <t>Híbrido</t>
        </is>
      </c>
      <c r="D13" s="20" t="n">
        <v>0.1</v>
      </c>
    </row>
    <row r="14">
      <c r="A14">
        <f>B14&amp;"|"&amp;C14</f>
        <v/>
      </c>
      <c r="B14" t="inlineStr">
        <is>
          <t>Arrojado</t>
        </is>
      </c>
      <c r="C14" t="inlineStr">
        <is>
          <t>Tijolo (lajes e escritórios)</t>
        </is>
      </c>
      <c r="D14" s="20" t="n">
        <v>0.25</v>
      </c>
    </row>
    <row r="15">
      <c r="A15">
        <f>B15&amp;"|"&amp;C15</f>
        <v/>
      </c>
      <c r="B15" t="inlineStr">
        <is>
          <t>Arrojado</t>
        </is>
      </c>
      <c r="C15" t="inlineStr">
        <is>
          <t>Logístico</t>
        </is>
      </c>
      <c r="D15" s="20" t="n">
        <v>0.1</v>
      </c>
    </row>
    <row r="16">
      <c r="A16">
        <f>B16&amp;"|"&amp;C16</f>
        <v/>
      </c>
      <c r="B16" t="inlineStr">
        <is>
          <t>Arrojado</t>
        </is>
      </c>
      <c r="C16" t="inlineStr">
        <is>
          <t>Shoppings</t>
        </is>
      </c>
      <c r="D16" s="20" t="n">
        <v>0.15</v>
      </c>
    </row>
    <row r="17">
      <c r="A17">
        <f>B17&amp;"|"&amp;C17</f>
        <v/>
      </c>
      <c r="B17" t="inlineStr">
        <is>
          <t>Arrojado</t>
        </is>
      </c>
      <c r="C17" t="inlineStr">
        <is>
          <t>Papel (CRI)</t>
        </is>
      </c>
      <c r="D17" s="20" t="n">
        <v>0.4</v>
      </c>
    </row>
    <row r="18">
      <c r="A18">
        <f>B18&amp;"|"&amp;C18</f>
        <v/>
      </c>
      <c r="B18" t="inlineStr">
        <is>
          <t>Arrojado</t>
        </is>
      </c>
      <c r="C18" t="inlineStr">
        <is>
          <t>Fundo de fundos</t>
        </is>
      </c>
      <c r="D18" s="20" t="n">
        <v>0.05</v>
      </c>
    </row>
    <row r="19">
      <c r="A19">
        <f>B19&amp;"|"&amp;C19</f>
        <v/>
      </c>
      <c r="B19" t="inlineStr">
        <is>
          <t>Arrojado</t>
        </is>
      </c>
      <c r="C19" t="inlineStr">
        <is>
          <t>Híbrido</t>
        </is>
      </c>
      <c r="D19" s="20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2026-10-18T22:17:02Z</dcterms:created>
  <dcterms:modified xmlns:dcterms="http://purl.org/dc/terms/" xmlns:xsi="http://www.w3.org/2001/XMLSchema-instance" xsi:type="dcterms:W3CDTF">2026-10-18T22:17:02Z</dcterms:modified>
</cp:coreProperties>
</file>