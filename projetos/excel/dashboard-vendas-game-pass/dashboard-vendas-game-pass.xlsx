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álculos" sheetId="2" state="visible" r:id="rId2"/>
    <sheet xmlns:r="http://schemas.openxmlformats.org/officeDocument/2006/relationships" name="Base" sheetId="3" state="visible" r:id="rId3"/>
  </sheets>
  <definedNames>
    <definedName name="b_id">Base!$A$2:$A$296</definedName>
    <definedName name="b_plano">Base!$C$2:$C$296</definedName>
    <definedName name="b_data">Base!$D$2:$D$296</definedName>
    <definedName name="b_renov">Base!$E$2:$E$296</definedName>
    <definedName name="b_sub">Base!$F$2:$F$296</definedName>
    <definedName name="b_tipo">Base!$G$2:$G$296</definedName>
    <definedName name="b_eaflag">Base!$H$2:$H$296</definedName>
    <definedName name="b_ea">Base!$I$2:$I$296</definedName>
    <definedName name="b_mcflag">Base!$J$2:$J$296</definedName>
    <definedName name="b_mc">Base!$K$2:$K$296</definedName>
    <definedName name="b_cupom">Base!$L$2:$L$296</definedName>
    <definedName name="b_total">Base!$M$2:$M$296</definedName>
    <definedName name="crit_plano">'Cálculos'!$B$3</definedName>
    <definedName name="crit_tipo">'Cálculos'!$B$4</definedName>
    <definedName name="_xlnm.Print_Area" localSheetId="0">'Dashboard'!$A$1:$R$59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10">
    <font>
      <name val="Calibri"/>
      <family val="2"/>
      <color theme="1"/>
      <sz val="11"/>
      <scheme val="minor"/>
    </font>
    <font>
      <name val="Calibri"/>
      <b val="1"/>
      <color rgb="00107C10"/>
      <sz val="16"/>
    </font>
    <font>
      <name val="Calibri"/>
      <i val="1"/>
      <color rgb="005E6B60"/>
      <sz val="9"/>
    </font>
    <font>
      <name val="Calibri"/>
      <color rgb="001B2A1E"/>
    </font>
    <font>
      <name val="Calibri"/>
      <b val="1"/>
      <color rgb="001B2A1E"/>
    </font>
    <font>
      <name val="Calibri"/>
      <b val="1"/>
      <color rgb="00FFFFFF"/>
    </font>
    <font>
      <name val="Calibri"/>
      <b val="1"/>
      <color rgb="00FFFFFF"/>
      <sz val="24"/>
    </font>
    <font>
      <name val="Calibri"/>
      <b val="1"/>
      <color rgb="00107C10"/>
    </font>
    <font>
      <name val="Calibri"/>
      <b val="1"/>
      <color rgb="00FFFFFF"/>
      <sz val="10"/>
    </font>
    <font>
      <name val="Calibri"/>
      <b val="1"/>
      <color rgb="00107C10"/>
      <sz val="26"/>
    </font>
  </fonts>
  <fills count="6">
    <fill>
      <patternFill/>
    </fill>
    <fill>
      <patternFill patternType="gray125"/>
    </fill>
    <fill>
      <patternFill patternType="solid">
        <fgColor rgb="00107C10"/>
      </patternFill>
    </fill>
    <fill>
      <patternFill patternType="solid">
        <fgColor rgb="00F1F5F1"/>
      </patternFill>
    </fill>
    <fill>
      <patternFill patternType="solid">
        <fgColor rgb="000E1A1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9D6CA"/>
      </left>
      <right style="thin">
        <color rgb="00C9D6CA"/>
      </right>
      <top style="thin">
        <color rgb="00C9D6CA"/>
      </top>
      <bottom style="thin">
        <color rgb="00C9D6CA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3" borderId="0" pivotButton="0" quotePrefix="0" xfId="0"/>
    <xf numFmtId="0" fontId="6" fillId="4" borderId="0" applyAlignment="1" pivotButton="0" quotePrefix="0" xfId="0">
      <alignment horizontal="left" vertical="center" indent="2"/>
    </xf>
    <xf numFmtId="0" fontId="0" fillId="4" borderId="0" pivotButton="0" quotePrefix="0" xfId="0"/>
    <xf numFmtId="0" fontId="2" fillId="3" borderId="0" pivotButton="0" quotePrefix="0" xfId="0"/>
    <xf numFmtId="0" fontId="4" fillId="3" borderId="0" applyAlignment="1" pivotButton="0" quotePrefix="0" xfId="0">
      <alignment horizontal="right" vertical="center"/>
    </xf>
    <xf numFmtId="0" fontId="7" fillId="5" borderId="1" applyAlignment="1" applyProtection="1" pivotButton="0" quotePrefix="0" xfId="0">
      <alignment horizontal="center" vertical="center"/>
      <protection locked="0" hidden="0"/>
    </xf>
    <xf numFmtId="0" fontId="0" fillId="5" borderId="1" pivotButton="0" quotePrefix="0" xfId="0"/>
    <xf numFmtId="0" fontId="8" fillId="2" borderId="0" applyAlignment="1" pivotButton="0" quotePrefix="0" xfId="0">
      <alignment horizontal="center" vertical="center"/>
    </xf>
    <xf numFmtId="0" fontId="0" fillId="2" borderId="0" pivotButton="0" quotePrefix="0" xfId="0"/>
    <xf numFmtId="3" fontId="9" fillId="5" borderId="0" applyAlignment="1" pivotButton="0" quotePrefix="0" xfId="0">
      <alignment horizontal="center" vertical="center"/>
    </xf>
    <xf numFmtId="0" fontId="0" fillId="5" borderId="0" pivotButton="0" quotePrefix="0" xfId="0"/>
    <xf numFmtId="4" fontId="9" fillId="5" borderId="0" applyAlignment="1" pivotButton="0" quotePrefix="0" xfId="0">
      <alignment horizontal="center" vertical="center"/>
    </xf>
    <xf numFmtId="0" fontId="1" fillId="0" borderId="0" pivotButton="0" quotePrefix="0" xfId="0"/>
    <xf numFmtId="0" fontId="2" fillId="0" borderId="0" pivotButton="0" quotePrefix="0" xfId="0"/>
    <xf numFmtId="0" fontId="3" fillId="0" borderId="1" pivotButton="0" quotePrefix="0" xfId="0"/>
    <xf numFmtId="0" fontId="4" fillId="0" borderId="1" pivotButton="0" quotePrefix="0" xfId="0"/>
    <xf numFmtId="3" fontId="3" fillId="0" borderId="1" pivotButton="0" quotePrefix="0" xfId="0"/>
    <xf numFmtId="4" fontId="3" fillId="0" borderId="1" pivotButton="0" quotePrefix="0" xfId="0"/>
    <xf numFmtId="0" fontId="5" fillId="2" borderId="1" pivotButton="0" quotePrefix="0" xfId="0"/>
    <xf numFmtId="0" fontId="0" fillId="0" borderId="0" applyAlignment="1" pivotButton="0" quotePrefix="0" xfId="0">
      <alignment vertical="center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Receita por plano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tx>
            <strRef>
              <f>'Cálculos'!B12</f>
            </strRef>
          </tx>
          <spPr>
            <a:solidFill xmlns:a="http://schemas.openxmlformats.org/drawingml/2006/main">
              <a:srgbClr val="107C10"/>
            </a:solidFill>
            <a:ln xmlns:a="http://schemas.openxmlformats.org/drawingml/2006/main">
              <a:solidFill>
                <a:srgbClr val="107C10"/>
              </a:solidFill>
              <a:prstDash val="solid"/>
            </a:ln>
          </spPr>
          <cat>
            <strRef>
              <f>'Cálculos'!$A$13:$A$15</f>
            </strRef>
          </cat>
          <val>
            <numRef>
              <f>'Cálculos'!$B$13:$B$15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>
          <spPr>
            <a:ln xmlns:a="http://schemas.openxmlformats.org/drawingml/2006/main" w="6350">
              <a:solidFill>
                <a:srgbClr val="D9D9D9"/>
              </a:solidFill>
              <a:prstDash val="solid"/>
            </a:ln>
          </spPr>
        </majorGridlines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Receita por tipo de assinatura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tx>
            <strRef>
              <f>'Cálculos'!B17</f>
            </strRef>
          </tx>
          <spPr>
            <a:solidFill xmlns:a="http://schemas.openxmlformats.org/drawingml/2006/main">
              <a:srgbClr val="107C10"/>
            </a:solidFill>
            <a:ln xmlns:a="http://schemas.openxmlformats.org/drawingml/2006/main">
              <a:solidFill>
                <a:srgbClr val="107C10"/>
              </a:solidFill>
              <a:prstDash val="solid"/>
            </a:ln>
          </spPr>
          <cat>
            <strRef>
              <f>'Cálculos'!$A$18:$A$20</f>
            </strRef>
          </cat>
          <val>
            <numRef>
              <f>'Cálculos'!$B$18:$B$20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>
          <spPr>
            <a:ln xmlns:a="http://schemas.openxmlformats.org/drawingml/2006/main" w="6350">
              <a:solidFill>
                <a:srgbClr val="D9D9D9"/>
              </a:solidFill>
              <a:prstDash val="solid"/>
            </a:ln>
          </spPr>
        </majorGridlines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Receita por renovação automática</a:t>
            </a:r>
          </a:p>
        </rich>
      </tx>
      <overlay val="0"/>
    </title>
    <plotArea>
      <pieChart>
        <varyColors val="1"/>
        <ser>
          <idx val="0"/>
          <order val="0"/>
          <tx>
            <strRef>
              <f>'Cálculos'!B22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107C10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9BC848"/>
              </a:solidFill>
              <a:ln xmlns:a="http://schemas.openxmlformats.org/drawingml/2006/main">
                <a:prstDash val="solid"/>
              </a:ln>
            </spPr>
          </dPt>
          <cat>
            <strRef>
              <f>'Cálculos'!$A$23:$A$24</f>
            </strRef>
          </cat>
          <val>
            <numRef>
              <f>'Cálculos'!$B$23:$B$24</f>
            </numRef>
          </val>
        </ser>
        <dLbls>
          <showLegendKey val="0"/>
          <showVal val="0"/>
          <showCatName val="0"/>
          <showSerName val="0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Receita por mês de início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'Cálculos'!B26</f>
            </strRef>
          </tx>
          <spPr>
            <a:solidFill xmlns:a="http://schemas.openxmlformats.org/drawingml/2006/main">
              <a:srgbClr val="107C10"/>
            </a:solidFill>
            <a:ln xmlns:a="http://schemas.openxmlformats.org/drawingml/2006/main" w="28000">
              <a:solidFill>
                <a:srgbClr val="107C1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'Cálculos'!$A$27:$A$38</f>
            </strRef>
          </cat>
          <val>
            <numRef>
              <f>'Cálculos'!$B$27:$B$38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>
          <spPr>
            <a:ln xmlns:a="http://schemas.openxmlformats.org/drawingml/2006/main" w="6350">
              <a:solidFill>
                <a:srgbClr val="D9D9D9"/>
              </a:solidFill>
              <a:prstDash val="solid"/>
            </a:ln>
          </spPr>
        </majorGridlines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Add-ons vendidos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strRef>
              <f>'Cálculos'!B41</f>
            </strRef>
          </tx>
          <spPr>
            <a:solidFill xmlns:a="http://schemas.openxmlformats.org/drawingml/2006/main">
              <a:srgbClr val="107C10"/>
            </a:solidFill>
            <a:ln xmlns:a="http://schemas.openxmlformats.org/drawingml/2006/main">
              <a:solidFill>
                <a:srgbClr val="107C10"/>
              </a:solidFill>
              <a:prstDash val="solid"/>
            </a:ln>
          </spPr>
          <cat>
            <strRef>
              <f>'Cálculos'!$A$42:$A$43</f>
            </strRef>
          </cat>
          <val>
            <numRef>
              <f>'Cálculos'!$B$42:$B$43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>
          <spPr>
            <a:ln xmlns:a="http://schemas.openxmlformats.org/drawingml/2006/main" w="6350">
              <a:solidFill>
                <a:srgbClr val="D9D9D9"/>
              </a:solidFill>
              <a:prstDash val="solid"/>
            </a:ln>
          </spPr>
        </majorGridlines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Assinantes por plano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tx>
            <strRef>
              <f>'Cálculos'!C12</f>
            </strRef>
          </tx>
          <spPr>
            <a:solidFill xmlns:a="http://schemas.openxmlformats.org/drawingml/2006/main">
              <a:srgbClr val="107C10"/>
            </a:solidFill>
            <a:ln xmlns:a="http://schemas.openxmlformats.org/drawingml/2006/main">
              <a:solidFill>
                <a:srgbClr val="107C10"/>
              </a:solidFill>
              <a:prstDash val="solid"/>
            </a:ln>
          </spPr>
          <cat>
            <strRef>
              <f>'Cálculos'!$A$13:$A$15</f>
            </strRef>
          </cat>
          <val>
            <numRef>
              <f>'Cálculos'!$C$13:$C$15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>
          <spPr>
            <a:ln xmlns:a="http://schemas.openxmlformats.org/drawingml/2006/main" w="6350">
              <a:solidFill>
                <a:srgbClr val="D9D9D9"/>
              </a:solidFill>
              <a:prstDash val="solid"/>
            </a:ln>
          </spPr>
        </majorGridlines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/Relationships>
</file>

<file path=xl/drawings/drawing1.xml><?xml version="1.0" encoding="utf-8"?>
<wsDr xmlns="http://schemas.openxmlformats.org/drawingml/2006/spreadsheetDrawing">
  <oneCellAnchor>
    <from>
      <col>1</col>
      <colOff>0</colOff>
      <row>10</row>
      <rowOff>0</rowOff>
    </from>
    <ext cx="6623999" cy="2664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10</row>
      <rowOff>0</rowOff>
    </from>
    <ext cx="6623999" cy="2664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26</row>
      <rowOff>0</rowOff>
    </from>
    <ext cx="6623999" cy="2664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9</col>
      <colOff>0</colOff>
      <row>26</row>
      <rowOff>0</rowOff>
    </from>
    <ext cx="6623999" cy="2664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</col>
      <colOff>0</colOff>
      <row>42</row>
      <rowOff>0</rowOff>
    </from>
    <ext cx="6623999" cy="2664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9</col>
      <colOff>0</colOff>
      <row>42</row>
      <rowOff>0</rowOff>
    </from>
    <ext cx="6623999" cy="2664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_assinaturas" displayName="tb_assinaturas" ref="A1:M296" headerRowCount="1">
  <autoFilter ref="A1:M296"/>
  <tableColumns count="13">
    <tableColumn id="1" name="Subscriber ID"/>
    <tableColumn id="2" name="Name"/>
    <tableColumn id="3" name="Plan"/>
    <tableColumn id="4" name="Start Date"/>
    <tableColumn id="5" name="Auto Renewal"/>
    <tableColumn id="6" name="Subscription Price"/>
    <tableColumn id="7" name="Subscription Type"/>
    <tableColumn id="8" name="EA Play Season Pass"/>
    <tableColumn id="9" name="EA Play Season Pass Price"/>
    <tableColumn id="10" name="Minecraft Season Pass"/>
    <tableColumn id="11" name="Minecraft Season Pass Price"/>
    <tableColumn id="12" name="Coupon Value"/>
    <tableColumn id="13" name="Total Value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rgb="00107C10"/>
    <outlinePr summaryBelow="1" summaryRight="1"/>
    <pageSetUpPr fitToPage="1"/>
  </sheetPr>
  <dimension ref="A1:R61"/>
  <sheetViews>
    <sheetView showGridLines="0" showRowColHeaders="0"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3" customWidth="1" min="18" max="18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 ht="24" customHeight="1">
      <c r="A2" s="1" t="n"/>
      <c r="B2" s="2" t="inlineStr">
        <is>
          <t>GAME PASS  |  VENDAS DE ASSINATURAS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1" t="n"/>
    </row>
    <row r="3" ht="24" customHeight="1">
      <c r="A3" s="1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1" t="n"/>
    </row>
    <row r="4">
      <c r="A4" s="1" t="n"/>
      <c r="B4" s="4" t="inlineStr">
        <is>
          <t>Base de 295 assinaturas iniciadas em 2024. Valores na unidade da base (moeda não informada).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</row>
    <row r="5" ht="24" customHeight="1">
      <c r="A5" s="1" t="n"/>
      <c r="B5" s="5" t="inlineStr">
        <is>
          <t>Plano</t>
        </is>
      </c>
      <c r="D5" s="6" t="inlineStr">
        <is>
          <t>Todos</t>
        </is>
      </c>
      <c r="E5" s="7" t="n"/>
      <c r="F5" s="5" t="inlineStr">
        <is>
          <t>Tipo de assinatura</t>
        </is>
      </c>
      <c r="H5" s="6" t="inlineStr">
        <is>
          <t>Todos</t>
        </is>
      </c>
      <c r="I5" s="7" t="n"/>
      <c r="J5" s="1" t="n"/>
      <c r="K5" s="4" t="inlineStr">
        <is>
          <t>← escolha nos filtros e tudo se atualiza</t>
        </is>
      </c>
      <c r="L5" s="1" t="n"/>
      <c r="M5" s="1" t="n"/>
      <c r="N5" s="1" t="n"/>
      <c r="O5" s="1" t="n"/>
      <c r="P5" s="1" t="n"/>
      <c r="Q5" s="1" t="n"/>
      <c r="R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</row>
    <row r="7" ht="20" customHeight="1">
      <c r="A7" s="1" t="n"/>
      <c r="B7" s="8" t="inlineStr">
        <is>
          <t>Receita total</t>
        </is>
      </c>
      <c r="C7" s="9" t="n"/>
      <c r="D7" s="9" t="n"/>
      <c r="E7" s="9" t="n"/>
      <c r="F7" s="8" t="inlineStr">
        <is>
          <t>Assinantes</t>
        </is>
      </c>
      <c r="G7" s="9" t="n"/>
      <c r="H7" s="9" t="n"/>
      <c r="I7" s="9" t="n"/>
      <c r="J7" s="8" t="inlineStr">
        <is>
          <t>Ticket médio</t>
        </is>
      </c>
      <c r="K7" s="9" t="n"/>
      <c r="L7" s="9" t="n"/>
      <c r="M7" s="9" t="n"/>
      <c r="N7" s="8" t="inlineStr">
        <is>
          <t>Cupons concedidos</t>
        </is>
      </c>
      <c r="O7" s="9" t="n"/>
      <c r="P7" s="9" t="n"/>
      <c r="Q7" s="9" t="n"/>
      <c r="R7" s="1" t="n"/>
    </row>
    <row r="8">
      <c r="A8" s="1" t="n"/>
      <c r="B8" s="10">
        <f>'Cálculos'!B7</f>
        <v/>
      </c>
      <c r="C8" s="11" t="n"/>
      <c r="D8" s="11" t="n"/>
      <c r="E8" s="11" t="n"/>
      <c r="F8" s="10">
        <f>'Cálculos'!B8</f>
        <v/>
      </c>
      <c r="G8" s="11" t="n"/>
      <c r="H8" s="11" t="n"/>
      <c r="I8" s="11" t="n"/>
      <c r="J8" s="12">
        <f>'Cálculos'!B9</f>
        <v/>
      </c>
      <c r="K8" s="11" t="n"/>
      <c r="L8" s="11" t="n"/>
      <c r="M8" s="11" t="n"/>
      <c r="N8" s="10">
        <f>'Cálculos'!B10</f>
        <v/>
      </c>
      <c r="O8" s="11" t="n"/>
      <c r="P8" s="11" t="n"/>
      <c r="Q8" s="11" t="n"/>
      <c r="R8" s="1" t="n"/>
    </row>
    <row r="9">
      <c r="A9" s="1" t="n"/>
      <c r="B9" s="11" t="n"/>
      <c r="C9" s="11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1" t="n"/>
      <c r="P9" s="11" t="n"/>
      <c r="Q9" s="11" t="n"/>
      <c r="R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13">
    <mergeCell ref="F7:I7"/>
    <mergeCell ref="N8:Q9"/>
    <mergeCell ref="B5:C5"/>
    <mergeCell ref="F5:G5"/>
    <mergeCell ref="D5:E5"/>
    <mergeCell ref="B8:E9"/>
    <mergeCell ref="F8:I9"/>
    <mergeCell ref="J8:M9"/>
    <mergeCell ref="B7:E7"/>
    <mergeCell ref="H5:I5"/>
    <mergeCell ref="N7:Q7"/>
    <mergeCell ref="J7:M7"/>
    <mergeCell ref="B2:Q3"/>
  </mergeCells>
  <dataValidations count="2">
    <dataValidation sqref="D5" showDropDown="0" showInputMessage="0" showErrorMessage="1" allowBlank="0" error="Escolha um item da lista." type="list">
      <formula1>"Todos,Core,Standard,Ultimate"</formula1>
    </dataValidation>
    <dataValidation sqref="H5" showDropDown="0" showInputMessage="0" showErrorMessage="1" allowBlank="0" error="Escolha um item da lista." type="list">
      <formula1>"Todos,Monthly,Quarterly,Annual"</formula1>
    </dataValidation>
  </dataValidations>
  <pageMargins left="0.75" right="0.75" top="1" bottom="1" header="0.5" footer="0.5"/>
  <pageSetup orientation="portrait" fitToHeight="1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8AA48A"/>
    <outlinePr summaryBelow="1" summaryRight="1"/>
    <pageSetUpPr/>
  </sheetPr>
  <dimension ref="A1:C52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6" customWidth="1" min="2" max="2"/>
    <col width="16" customWidth="1" min="3" max="3"/>
    <col width="3" customWidth="1" min="4" max="4"/>
    <col width="60" customWidth="1" min="5" max="5"/>
  </cols>
  <sheetData>
    <row r="1">
      <c r="A1" s="13" t="inlineStr">
        <is>
          <t>Cálculos do dashboard</t>
        </is>
      </c>
    </row>
    <row r="2">
      <c r="A2" s="14" t="inlineStr">
        <is>
          <t>Os blocos 1 a 4 obedecem aos filtros do Dashboard. As perguntas de negócio (bloco 5) usam a base inteira.</t>
        </is>
      </c>
    </row>
    <row r="3">
      <c r="A3" s="15" t="inlineStr">
        <is>
          <t>Critério de plano (vem do filtro)</t>
        </is>
      </c>
      <c r="B3" s="15">
        <f>IF(Dashboard!$D$5="Todos","*",Dashboard!$D$5)</f>
        <v/>
      </c>
    </row>
    <row r="4">
      <c r="A4" s="15" t="inlineStr">
        <is>
          <t>Critério de tipo de assinatura (vem do filtro)</t>
        </is>
      </c>
      <c r="B4" s="15">
        <f>IF(Dashboard!$H$5="Todos","*",Dashboard!$H$5)</f>
        <v/>
      </c>
    </row>
    <row r="6">
      <c r="A6" s="16" t="inlineStr">
        <is>
          <t>Indicadores</t>
        </is>
      </c>
    </row>
    <row r="7">
      <c r="A7" s="15" t="inlineStr">
        <is>
          <t>Receita total</t>
        </is>
      </c>
      <c r="B7" s="17">
        <f>SUMIFS(b_total,b_plano,crit_plano,b_tipo,crit_tipo)</f>
        <v/>
      </c>
    </row>
    <row r="8">
      <c r="A8" s="15" t="inlineStr">
        <is>
          <t>Assinantes</t>
        </is>
      </c>
      <c r="B8" s="17">
        <f>COUNTIFS(b_plano,crit_plano,b_tipo,crit_tipo)</f>
        <v/>
      </c>
    </row>
    <row r="9">
      <c r="A9" s="15" t="inlineStr">
        <is>
          <t>Ticket médio por assinante</t>
        </is>
      </c>
      <c r="B9" s="18">
        <f>IFERROR(B7/B8,0)</f>
        <v/>
      </c>
    </row>
    <row r="10">
      <c r="A10" s="15" t="inlineStr">
        <is>
          <t>Cupons concedidos</t>
        </is>
      </c>
      <c r="B10" s="17">
        <f>SUMIFS(b_cupom,b_plano,crit_plano,b_tipo,crit_tipo)</f>
        <v/>
      </c>
    </row>
    <row r="12">
      <c r="A12" s="19" t="inlineStr">
        <is>
          <t>1. Receita por plano</t>
        </is>
      </c>
      <c r="B12" s="19" t="inlineStr">
        <is>
          <t>Receita</t>
        </is>
      </c>
      <c r="C12" s="19" t="inlineStr">
        <is>
          <t>Assinantes</t>
        </is>
      </c>
    </row>
    <row r="13">
      <c r="A13" s="15" t="inlineStr">
        <is>
          <t>Core</t>
        </is>
      </c>
      <c r="B13" s="17">
        <f>SUMIFS(b_total,b_plano,A13,b_plano,crit_plano,b_tipo,crit_tipo)</f>
        <v/>
      </c>
      <c r="C13" s="17">
        <f>COUNTIFS(b_plano,A13,b_plano,crit_plano,b_tipo,crit_tipo)</f>
        <v/>
      </c>
    </row>
    <row r="14">
      <c r="A14" s="15" t="inlineStr">
        <is>
          <t>Standard</t>
        </is>
      </c>
      <c r="B14" s="17">
        <f>SUMIFS(b_total,b_plano,A14,b_plano,crit_plano,b_tipo,crit_tipo)</f>
        <v/>
      </c>
      <c r="C14" s="17">
        <f>COUNTIFS(b_plano,A14,b_plano,crit_plano,b_tipo,crit_tipo)</f>
        <v/>
      </c>
    </row>
    <row r="15">
      <c r="A15" s="15" t="inlineStr">
        <is>
          <t>Ultimate</t>
        </is>
      </c>
      <c r="B15" s="17">
        <f>SUMIFS(b_total,b_plano,A15,b_plano,crit_plano,b_tipo,crit_tipo)</f>
        <v/>
      </c>
      <c r="C15" s="17">
        <f>COUNTIFS(b_plano,A15,b_plano,crit_plano,b_tipo,crit_tipo)</f>
        <v/>
      </c>
    </row>
    <row r="17">
      <c r="A17" s="19" t="inlineStr">
        <is>
          <t>2. Receita por tipo de assinatura</t>
        </is>
      </c>
      <c r="B17" s="19" t="inlineStr">
        <is>
          <t>Receita</t>
        </is>
      </c>
      <c r="C17" s="19" t="inlineStr">
        <is>
          <t>Assinantes</t>
        </is>
      </c>
    </row>
    <row r="18">
      <c r="A18" s="15" t="inlineStr">
        <is>
          <t>Monthly</t>
        </is>
      </c>
      <c r="B18" s="17">
        <f>SUMIFS(b_total,b_tipo,A18,b_plano,crit_plano,b_tipo,crit_tipo)</f>
        <v/>
      </c>
      <c r="C18" s="17">
        <f>COUNTIFS(b_tipo,A18,b_plano,crit_plano,b_tipo,crit_tipo)</f>
        <v/>
      </c>
    </row>
    <row r="19">
      <c r="A19" s="15" t="inlineStr">
        <is>
          <t>Quarterly</t>
        </is>
      </c>
      <c r="B19" s="17">
        <f>SUMIFS(b_total,b_tipo,A19,b_plano,crit_plano,b_tipo,crit_tipo)</f>
        <v/>
      </c>
      <c r="C19" s="17">
        <f>COUNTIFS(b_tipo,A19,b_plano,crit_plano,b_tipo,crit_tipo)</f>
        <v/>
      </c>
    </row>
    <row r="20">
      <c r="A20" s="15" t="inlineStr">
        <is>
          <t>Annual</t>
        </is>
      </c>
      <c r="B20" s="17">
        <f>SUMIFS(b_total,b_tipo,A20,b_plano,crit_plano,b_tipo,crit_tipo)</f>
        <v/>
      </c>
      <c r="C20" s="17">
        <f>COUNTIFS(b_tipo,A20,b_plano,crit_plano,b_tipo,crit_tipo)</f>
        <v/>
      </c>
    </row>
    <row r="22">
      <c r="A22" s="19" t="inlineStr">
        <is>
          <t>3. Receita por renovação automática</t>
        </is>
      </c>
      <c r="B22" s="19" t="inlineStr">
        <is>
          <t>Receita</t>
        </is>
      </c>
      <c r="C22" s="19" t="inlineStr">
        <is>
          <t>Assinantes</t>
        </is>
      </c>
    </row>
    <row r="23">
      <c r="A23" s="15" t="inlineStr">
        <is>
          <t>Yes</t>
        </is>
      </c>
      <c r="B23" s="17">
        <f>SUMIFS(b_total,b_renov,A23,b_plano,crit_plano,b_tipo,crit_tipo)</f>
        <v/>
      </c>
      <c r="C23" s="17">
        <f>COUNTIFS(b_renov,A23,b_plano,crit_plano,b_tipo,crit_tipo)</f>
        <v/>
      </c>
    </row>
    <row r="24">
      <c r="A24" s="15" t="inlineStr">
        <is>
          <t>No</t>
        </is>
      </c>
      <c r="B24" s="17">
        <f>SUMIFS(b_total,b_renov,A24,b_plano,crit_plano,b_tipo,crit_tipo)</f>
        <v/>
      </c>
      <c r="C24" s="17">
        <f>COUNTIFS(b_renov,A24,b_plano,crit_plano,b_tipo,crit_tipo)</f>
        <v/>
      </c>
    </row>
    <row r="26">
      <c r="A26" s="19" t="inlineStr">
        <is>
          <t>4. Receita por mês de início (2024)</t>
        </is>
      </c>
      <c r="B26" s="19" t="inlineStr">
        <is>
          <t>Receita</t>
        </is>
      </c>
      <c r="C26" s="19" t="inlineStr">
        <is>
          <t>Assinantes</t>
        </is>
      </c>
    </row>
    <row r="27">
      <c r="A27" s="15" t="inlineStr">
        <is>
          <t>Jan</t>
        </is>
      </c>
      <c r="B27" s="17">
        <f>SUMIFS(b_total,b_data,"&gt;="&amp;DATE(2024,1,1),b_data,"&lt;"&amp;DATE(2024,2,1),b_plano,crit_plano,b_tipo,crit_tipo)</f>
        <v/>
      </c>
      <c r="C27" s="17">
        <f>COUNTIFS(b_data,"&gt;="&amp;DATE(2024,1,1),b_data,"&lt;"&amp;DATE(2024,2,1),b_plano,crit_plano,b_tipo,crit_tipo)</f>
        <v/>
      </c>
    </row>
    <row r="28">
      <c r="A28" s="15" t="inlineStr">
        <is>
          <t>Fev</t>
        </is>
      </c>
      <c r="B28" s="17">
        <f>SUMIFS(b_total,b_data,"&gt;="&amp;DATE(2024,2,1),b_data,"&lt;"&amp;DATE(2024,3,1),b_plano,crit_plano,b_tipo,crit_tipo)</f>
        <v/>
      </c>
      <c r="C28" s="17">
        <f>COUNTIFS(b_data,"&gt;="&amp;DATE(2024,2,1),b_data,"&lt;"&amp;DATE(2024,3,1),b_plano,crit_plano,b_tipo,crit_tipo)</f>
        <v/>
      </c>
    </row>
    <row r="29">
      <c r="A29" s="15" t="inlineStr">
        <is>
          <t>Mar</t>
        </is>
      </c>
      <c r="B29" s="17">
        <f>SUMIFS(b_total,b_data,"&gt;="&amp;DATE(2024,3,1),b_data,"&lt;"&amp;DATE(2024,4,1),b_plano,crit_plano,b_tipo,crit_tipo)</f>
        <v/>
      </c>
      <c r="C29" s="17">
        <f>COUNTIFS(b_data,"&gt;="&amp;DATE(2024,3,1),b_data,"&lt;"&amp;DATE(2024,4,1),b_plano,crit_plano,b_tipo,crit_tipo)</f>
        <v/>
      </c>
    </row>
    <row r="30">
      <c r="A30" s="15" t="inlineStr">
        <is>
          <t>Abr</t>
        </is>
      </c>
      <c r="B30" s="17">
        <f>SUMIFS(b_total,b_data,"&gt;="&amp;DATE(2024,4,1),b_data,"&lt;"&amp;DATE(2024,5,1),b_plano,crit_plano,b_tipo,crit_tipo)</f>
        <v/>
      </c>
      <c r="C30" s="17">
        <f>COUNTIFS(b_data,"&gt;="&amp;DATE(2024,4,1),b_data,"&lt;"&amp;DATE(2024,5,1),b_plano,crit_plano,b_tipo,crit_tipo)</f>
        <v/>
      </c>
    </row>
    <row r="31">
      <c r="A31" s="15" t="inlineStr">
        <is>
          <t>Mai</t>
        </is>
      </c>
      <c r="B31" s="17">
        <f>SUMIFS(b_total,b_data,"&gt;="&amp;DATE(2024,5,1),b_data,"&lt;"&amp;DATE(2024,6,1),b_plano,crit_plano,b_tipo,crit_tipo)</f>
        <v/>
      </c>
      <c r="C31" s="17">
        <f>COUNTIFS(b_data,"&gt;="&amp;DATE(2024,5,1),b_data,"&lt;"&amp;DATE(2024,6,1),b_plano,crit_plano,b_tipo,crit_tipo)</f>
        <v/>
      </c>
    </row>
    <row r="32">
      <c r="A32" s="15" t="inlineStr">
        <is>
          <t>Jun</t>
        </is>
      </c>
      <c r="B32" s="17">
        <f>SUMIFS(b_total,b_data,"&gt;="&amp;DATE(2024,6,1),b_data,"&lt;"&amp;DATE(2024,7,1),b_plano,crit_plano,b_tipo,crit_tipo)</f>
        <v/>
      </c>
      <c r="C32" s="17">
        <f>COUNTIFS(b_data,"&gt;="&amp;DATE(2024,6,1),b_data,"&lt;"&amp;DATE(2024,7,1),b_plano,crit_plano,b_tipo,crit_tipo)</f>
        <v/>
      </c>
    </row>
    <row r="33">
      <c r="A33" s="15" t="inlineStr">
        <is>
          <t>Jul</t>
        </is>
      </c>
      <c r="B33" s="17">
        <f>SUMIFS(b_total,b_data,"&gt;="&amp;DATE(2024,7,1),b_data,"&lt;"&amp;DATE(2024,8,1),b_plano,crit_plano,b_tipo,crit_tipo)</f>
        <v/>
      </c>
      <c r="C33" s="17">
        <f>COUNTIFS(b_data,"&gt;="&amp;DATE(2024,7,1),b_data,"&lt;"&amp;DATE(2024,8,1),b_plano,crit_plano,b_tipo,crit_tipo)</f>
        <v/>
      </c>
    </row>
    <row r="34">
      <c r="A34" s="15" t="inlineStr">
        <is>
          <t>Ago</t>
        </is>
      </c>
      <c r="B34" s="17">
        <f>SUMIFS(b_total,b_data,"&gt;="&amp;DATE(2024,8,1),b_data,"&lt;"&amp;DATE(2024,9,1),b_plano,crit_plano,b_tipo,crit_tipo)</f>
        <v/>
      </c>
      <c r="C34" s="17">
        <f>COUNTIFS(b_data,"&gt;="&amp;DATE(2024,8,1),b_data,"&lt;"&amp;DATE(2024,9,1),b_plano,crit_plano,b_tipo,crit_tipo)</f>
        <v/>
      </c>
    </row>
    <row r="35">
      <c r="A35" s="15" t="inlineStr">
        <is>
          <t>Set</t>
        </is>
      </c>
      <c r="B35" s="17">
        <f>SUMIFS(b_total,b_data,"&gt;="&amp;DATE(2024,9,1),b_data,"&lt;"&amp;DATE(2024,10,1),b_plano,crit_plano,b_tipo,crit_tipo)</f>
        <v/>
      </c>
      <c r="C35" s="17">
        <f>COUNTIFS(b_data,"&gt;="&amp;DATE(2024,9,1),b_data,"&lt;"&amp;DATE(2024,10,1),b_plano,crit_plano,b_tipo,crit_tipo)</f>
        <v/>
      </c>
    </row>
    <row r="36">
      <c r="A36" s="15" t="inlineStr">
        <is>
          <t>Out</t>
        </is>
      </c>
      <c r="B36" s="17">
        <f>SUMIFS(b_total,b_data,"&gt;="&amp;DATE(2024,10,1),b_data,"&lt;"&amp;DATE(2024,11,1),b_plano,crit_plano,b_tipo,crit_tipo)</f>
        <v/>
      </c>
      <c r="C36" s="17">
        <f>COUNTIFS(b_data,"&gt;="&amp;DATE(2024,10,1),b_data,"&lt;"&amp;DATE(2024,11,1),b_plano,crit_plano,b_tipo,crit_tipo)</f>
        <v/>
      </c>
    </row>
    <row r="37">
      <c r="A37" s="15" t="inlineStr">
        <is>
          <t>Nov</t>
        </is>
      </c>
      <c r="B37" s="17">
        <f>SUMIFS(b_total,b_data,"&gt;="&amp;DATE(2024,11,1),b_data,"&lt;"&amp;DATE(2024,12,1),b_plano,crit_plano,b_tipo,crit_tipo)</f>
        <v/>
      </c>
      <c r="C37" s="17">
        <f>COUNTIFS(b_data,"&gt;="&amp;DATE(2024,11,1),b_data,"&lt;"&amp;DATE(2024,12,1),b_plano,crit_plano,b_tipo,crit_tipo)</f>
        <v/>
      </c>
    </row>
    <row r="38">
      <c r="A38" s="15" t="inlineStr">
        <is>
          <t>Dez</t>
        </is>
      </c>
      <c r="B38" s="17">
        <f>SUMIFS(b_total,b_data,"&gt;="&amp;DATE(2024,12,1),b_data,"&lt;"&amp;DATE(2024,13,1),b_plano,crit_plano,b_tipo,crit_tipo)</f>
        <v/>
      </c>
      <c r="C38" s="17">
        <f>COUNTIFS(b_data,"&gt;="&amp;DATE(2024,12,1),b_data,"&lt;"&amp;DATE(2024,13,1),b_plano,crit_plano,b_tipo,crit_tipo)</f>
        <v/>
      </c>
    </row>
    <row r="41">
      <c r="A41" s="19" t="inlineStr">
        <is>
          <t>5. Add-ons (valor vendido)</t>
        </is>
      </c>
      <c r="B41" s="19" t="inlineStr">
        <is>
          <t>Valor</t>
        </is>
      </c>
      <c r="C41" s="19" t="inlineStr">
        <is>
          <t>Assinantes</t>
        </is>
      </c>
    </row>
    <row r="42">
      <c r="A42" s="15" t="inlineStr">
        <is>
          <t>EA Play Season Pass</t>
        </is>
      </c>
      <c r="B42" s="17">
        <f>SUMIFS(b_ea,b_plano,crit_plano,b_tipo,crit_tipo)</f>
        <v/>
      </c>
      <c r="C42" s="17">
        <f>COUNTIFS(b_eaflag,"Yes",b_plano,crit_plano,b_tipo,crit_tipo)</f>
        <v/>
      </c>
    </row>
    <row r="43">
      <c r="A43" s="15" t="inlineStr">
        <is>
          <t>Minecraft Season Pass</t>
        </is>
      </c>
      <c r="B43" s="17">
        <f>SUMIFS(b_mc,b_plano,crit_plano,b_tipo,crit_tipo)</f>
        <v/>
      </c>
      <c r="C43" s="17">
        <f>COUNTIFS(b_mcflag,"Yes",b_plano,crit_plano,b_tipo,crit_tipo)</f>
        <v/>
      </c>
    </row>
    <row r="46">
      <c r="A46" s="19" t="inlineStr">
        <is>
          <t>6. Perguntas de negócio (base inteira)</t>
        </is>
      </c>
      <c r="B46" s="19" t="inlineStr">
        <is>
          <t>Resposta</t>
        </is>
      </c>
    </row>
    <row r="47">
      <c r="A47" s="15" t="inlineStr">
        <is>
          <t>Faturamento total dos planos anuais</t>
        </is>
      </c>
      <c r="B47" s="17">
        <f>SUMIFS(b_total,b_tipo,"Annual")</f>
        <v/>
      </c>
    </row>
    <row r="48">
      <c r="A48" s="15" t="inlineStr">
        <is>
          <t>Planos anuais com renovação automática</t>
        </is>
      </c>
      <c r="B48" s="17">
        <f>SUMIFS(b_total,b_tipo,"Annual",b_renov,"Yes")</f>
        <v/>
      </c>
    </row>
    <row r="49">
      <c r="A49" s="15" t="inlineStr">
        <is>
          <t>Planos anuais sem renovação automática</t>
        </is>
      </c>
      <c r="B49" s="17">
        <f>SUMIFS(b_total,b_tipo,"Annual",b_renov,"No")</f>
        <v/>
      </c>
    </row>
    <row r="50">
      <c r="A50" s="15" t="inlineStr">
        <is>
          <t>Total vendido de EA Play</t>
        </is>
      </c>
      <c r="B50" s="17">
        <f>SUM(b_ea)</f>
        <v/>
      </c>
    </row>
    <row r="51">
      <c r="A51" s="15" t="inlineStr">
        <is>
          <t>Total vendido de Minecraft Season Pass</t>
        </is>
      </c>
      <c r="B51" s="17">
        <f>SUM(b_mc)</f>
        <v/>
      </c>
    </row>
    <row r="52">
      <c r="A52" s="15" t="inlineStr">
        <is>
          <t>Receita total da base</t>
        </is>
      </c>
      <c r="B52" s="17">
        <f>SUM(b_total)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AA48A"/>
    <outlinePr summaryBelow="1" summaryRight="1"/>
    <pageSetUpPr/>
  </sheetPr>
  <dimension ref="A1:M2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11" customWidth="1" min="3" max="3"/>
    <col width="13" customWidth="1" min="4" max="4"/>
    <col width="13" customWidth="1" min="5" max="5"/>
    <col width="13" customWidth="1" min="6" max="6"/>
    <col width="13" customWidth="1" min="7" max="7"/>
    <col width="14" customWidth="1" min="8" max="8"/>
    <col width="14" customWidth="1" min="9" max="9"/>
    <col width="14" customWidth="1" min="10" max="10"/>
    <col width="14" customWidth="1" min="11" max="11"/>
    <col width="11" customWidth="1" min="12" max="12"/>
    <col width="11" customWidth="1" min="13" max="13"/>
  </cols>
  <sheetData>
    <row r="1" ht="32" customHeight="1">
      <c r="A1" s="20" t="inlineStr">
        <is>
          <t>Subscriber ID</t>
        </is>
      </c>
      <c r="B1" s="20" t="inlineStr">
        <is>
          <t>Name</t>
        </is>
      </c>
      <c r="C1" s="20" t="inlineStr">
        <is>
          <t>Plan</t>
        </is>
      </c>
      <c r="D1" s="20" t="inlineStr">
        <is>
          <t>Start Date</t>
        </is>
      </c>
      <c r="E1" s="20" t="inlineStr">
        <is>
          <t>Auto Renewal</t>
        </is>
      </c>
      <c r="F1" s="20" t="inlineStr">
        <is>
          <t>Subscription Price</t>
        </is>
      </c>
      <c r="G1" s="20" t="inlineStr">
        <is>
          <t>Subscription Type</t>
        </is>
      </c>
      <c r="H1" s="20" t="inlineStr">
        <is>
          <t>EA Play Season Pass</t>
        </is>
      </c>
      <c r="I1" s="20" t="inlineStr">
        <is>
          <t>EA Play Season Pass Price</t>
        </is>
      </c>
      <c r="J1" s="20" t="inlineStr">
        <is>
          <t>Minecraft Season Pass</t>
        </is>
      </c>
      <c r="K1" s="20" t="inlineStr">
        <is>
          <t>Minecraft Season Pass Price</t>
        </is>
      </c>
      <c r="L1" s="20" t="inlineStr">
        <is>
          <t>Coupon Value</t>
        </is>
      </c>
      <c r="M1" s="20" t="inlineStr">
        <is>
          <t>Total Value</t>
        </is>
      </c>
    </row>
    <row r="2">
      <c r="A2" t="n">
        <v>3231</v>
      </c>
      <c r="B2" t="inlineStr">
        <is>
          <t>João Silva</t>
        </is>
      </c>
      <c r="C2" t="inlineStr">
        <is>
          <t>Ultimate</t>
        </is>
      </c>
      <c r="D2" s="21" t="n">
        <v>45292</v>
      </c>
      <c r="E2" t="inlineStr">
        <is>
          <t>Yes</t>
        </is>
      </c>
      <c r="F2" t="n">
        <v>15</v>
      </c>
      <c r="G2" t="inlineStr">
        <is>
          <t>Monthly</t>
        </is>
      </c>
      <c r="H2" t="inlineStr">
        <is>
          <t>Yes</t>
        </is>
      </c>
      <c r="I2" t="n">
        <v>30</v>
      </c>
      <c r="J2" t="inlineStr">
        <is>
          <t>Yes</t>
        </is>
      </c>
      <c r="K2" t="n">
        <v>20</v>
      </c>
      <c r="L2" t="n">
        <v>5</v>
      </c>
      <c r="M2" t="n">
        <v>60</v>
      </c>
    </row>
    <row r="3">
      <c r="A3" t="n">
        <v>3232</v>
      </c>
      <c r="B3" t="inlineStr">
        <is>
          <t>Maria Oliveira</t>
        </is>
      </c>
      <c r="C3" t="inlineStr">
        <is>
          <t>Core</t>
        </is>
      </c>
      <c r="D3" s="21" t="n">
        <v>45306</v>
      </c>
      <c r="E3" t="inlineStr">
        <is>
          <t>No</t>
        </is>
      </c>
      <c r="F3" t="n">
        <v>5</v>
      </c>
      <c r="G3" t="inlineStr">
        <is>
          <t>Annual</t>
        </is>
      </c>
      <c r="H3" t="inlineStr">
        <is>
          <t>No</t>
        </is>
      </c>
      <c r="I3" t="inlineStr">
        <is>
          <t>-</t>
        </is>
      </c>
      <c r="J3" t="inlineStr">
        <is>
          <t>No</t>
        </is>
      </c>
      <c r="K3" t="n">
        <v>0</v>
      </c>
      <c r="L3" t="n">
        <v>0</v>
      </c>
      <c r="M3" t="n">
        <v>5</v>
      </c>
    </row>
    <row r="4">
      <c r="A4" t="n">
        <v>3233</v>
      </c>
      <c r="B4" t="inlineStr">
        <is>
          <t>Lucas Fernandes</t>
        </is>
      </c>
      <c r="C4" t="inlineStr">
        <is>
          <t>Standard</t>
        </is>
      </c>
      <c r="D4" s="21" t="n">
        <v>45332</v>
      </c>
      <c r="E4" t="inlineStr">
        <is>
          <t>Yes</t>
        </is>
      </c>
      <c r="F4" t="n">
        <v>10</v>
      </c>
      <c r="G4" t="inlineStr">
        <is>
          <t>Quarterly</t>
        </is>
      </c>
      <c r="H4" t="inlineStr">
        <is>
          <t>No</t>
        </is>
      </c>
      <c r="I4" t="inlineStr">
        <is>
          <t>-</t>
        </is>
      </c>
      <c r="J4" t="inlineStr">
        <is>
          <t>Yes</t>
        </is>
      </c>
      <c r="K4" t="n">
        <v>20</v>
      </c>
      <c r="L4" t="n">
        <v>10</v>
      </c>
      <c r="M4" t="n">
        <v>20</v>
      </c>
    </row>
    <row r="5">
      <c r="A5" t="n">
        <v>3234</v>
      </c>
      <c r="B5" t="inlineStr">
        <is>
          <t>Ana Souza</t>
        </is>
      </c>
      <c r="C5" t="inlineStr">
        <is>
          <t>Ultimate</t>
        </is>
      </c>
      <c r="D5" s="21" t="n">
        <v>45342</v>
      </c>
      <c r="E5" t="inlineStr">
        <is>
          <t>No</t>
        </is>
      </c>
      <c r="F5" t="n">
        <v>15</v>
      </c>
      <c r="G5" t="inlineStr">
        <is>
          <t>Monthly</t>
        </is>
      </c>
      <c r="H5" t="inlineStr">
        <is>
          <t>Yes</t>
        </is>
      </c>
      <c r="I5" t="n">
        <v>30</v>
      </c>
      <c r="J5" t="inlineStr">
        <is>
          <t>Yes</t>
        </is>
      </c>
      <c r="K5" t="n">
        <v>20</v>
      </c>
      <c r="L5" t="n">
        <v>3</v>
      </c>
      <c r="M5" t="n">
        <v>62</v>
      </c>
    </row>
    <row r="6">
      <c r="A6" t="n">
        <v>3235</v>
      </c>
      <c r="B6" t="inlineStr">
        <is>
          <t>Pedro Gonçalves</t>
        </is>
      </c>
      <c r="C6" t="inlineStr">
        <is>
          <t>Core</t>
        </is>
      </c>
      <c r="D6" s="21" t="n">
        <v>45356</v>
      </c>
      <c r="E6" t="inlineStr">
        <is>
          <t>Yes</t>
        </is>
      </c>
      <c r="F6" t="n">
        <v>5</v>
      </c>
      <c r="G6" t="inlineStr">
        <is>
          <t>Monthly</t>
        </is>
      </c>
      <c r="H6" t="inlineStr">
        <is>
          <t>No</t>
        </is>
      </c>
      <c r="I6" t="inlineStr">
        <is>
          <t>-</t>
        </is>
      </c>
      <c r="J6" t="inlineStr">
        <is>
          <t>No</t>
        </is>
      </c>
      <c r="K6" t="n">
        <v>0</v>
      </c>
      <c r="L6" t="n">
        <v>1</v>
      </c>
      <c r="M6" t="n">
        <v>4</v>
      </c>
    </row>
    <row r="7">
      <c r="A7" t="n">
        <v>3236</v>
      </c>
      <c r="B7" t="inlineStr">
        <is>
          <t>Felipe Costa</t>
        </is>
      </c>
      <c r="C7" t="inlineStr">
        <is>
          <t>Standard</t>
        </is>
      </c>
      <c r="D7" s="21" t="n">
        <v>45353</v>
      </c>
      <c r="E7" t="inlineStr">
        <is>
          <t>No</t>
        </is>
      </c>
      <c r="F7" t="n">
        <v>10</v>
      </c>
      <c r="G7" t="inlineStr">
        <is>
          <t>Monthly</t>
        </is>
      </c>
      <c r="H7" t="inlineStr">
        <is>
          <t>No</t>
        </is>
      </c>
      <c r="I7" t="inlineStr">
        <is>
          <t>-</t>
        </is>
      </c>
      <c r="J7" t="inlineStr">
        <is>
          <t>Yes</t>
        </is>
      </c>
      <c r="K7" t="n">
        <v>20</v>
      </c>
      <c r="L7" t="n">
        <v>2</v>
      </c>
      <c r="M7" t="n">
        <v>28</v>
      </c>
    </row>
    <row r="8">
      <c r="A8" t="n">
        <v>3237</v>
      </c>
      <c r="B8" t="inlineStr">
        <is>
          <t>Camila Ribeiro</t>
        </is>
      </c>
      <c r="C8" t="inlineStr">
        <is>
          <t>Ultimate</t>
        </is>
      </c>
      <c r="D8" s="21" t="n">
        <v>45354</v>
      </c>
      <c r="E8" t="inlineStr">
        <is>
          <t>Yes</t>
        </is>
      </c>
      <c r="F8" t="n">
        <v>15</v>
      </c>
      <c r="G8" t="inlineStr">
        <is>
          <t>Quarterly</t>
        </is>
      </c>
      <c r="H8" t="inlineStr">
        <is>
          <t>Yes</t>
        </is>
      </c>
      <c r="I8" t="n">
        <v>30</v>
      </c>
      <c r="J8" t="inlineStr">
        <is>
          <t>Yes</t>
        </is>
      </c>
      <c r="K8" t="n">
        <v>20</v>
      </c>
      <c r="L8" t="n">
        <v>10</v>
      </c>
      <c r="M8" t="n">
        <v>55</v>
      </c>
    </row>
    <row r="9">
      <c r="A9" t="n">
        <v>3238</v>
      </c>
      <c r="B9" t="inlineStr">
        <is>
          <t>André Mendes</t>
        </is>
      </c>
      <c r="C9" t="inlineStr">
        <is>
          <t>Core</t>
        </is>
      </c>
      <c r="D9" s="21" t="n">
        <v>45355</v>
      </c>
      <c r="E9" t="inlineStr">
        <is>
          <t>Yes</t>
        </is>
      </c>
      <c r="F9" t="n">
        <v>5</v>
      </c>
      <c r="G9" t="inlineStr">
        <is>
          <t>Annual</t>
        </is>
      </c>
      <c r="H9" t="inlineStr">
        <is>
          <t>No</t>
        </is>
      </c>
      <c r="I9" t="inlineStr">
        <is>
          <t>-</t>
        </is>
      </c>
      <c r="J9" t="inlineStr">
        <is>
          <t>No</t>
        </is>
      </c>
      <c r="K9" t="n">
        <v>0</v>
      </c>
      <c r="L9" t="n">
        <v>0</v>
      </c>
      <c r="M9" t="n">
        <v>5</v>
      </c>
    </row>
    <row r="10">
      <c r="A10" t="n">
        <v>3239</v>
      </c>
      <c r="B10" t="inlineStr">
        <is>
          <t>Sofia Almeida</t>
        </is>
      </c>
      <c r="C10" t="inlineStr">
        <is>
          <t>Ultimate</t>
        </is>
      </c>
      <c r="D10" s="21" t="n">
        <v>45356</v>
      </c>
      <c r="E10" t="inlineStr">
        <is>
          <t>No</t>
        </is>
      </c>
      <c r="F10" t="n">
        <v>15</v>
      </c>
      <c r="G10" t="inlineStr">
        <is>
          <t>Monthly</t>
        </is>
      </c>
      <c r="H10" t="inlineStr">
        <is>
          <t>Yes</t>
        </is>
      </c>
      <c r="I10" t="n">
        <v>30</v>
      </c>
      <c r="J10" t="inlineStr">
        <is>
          <t>Yes</t>
        </is>
      </c>
      <c r="K10" t="n">
        <v>20</v>
      </c>
      <c r="L10" t="n">
        <v>5</v>
      </c>
      <c r="M10" t="n">
        <v>60</v>
      </c>
    </row>
    <row r="11">
      <c r="A11" t="n">
        <v>3240</v>
      </c>
      <c r="B11" t="inlineStr">
        <is>
          <t>Bruno Martins</t>
        </is>
      </c>
      <c r="C11" t="inlineStr">
        <is>
          <t>Standard</t>
        </is>
      </c>
      <c r="D11" s="21" t="n">
        <v>45357</v>
      </c>
      <c r="E11" t="inlineStr">
        <is>
          <t>Yes</t>
        </is>
      </c>
      <c r="F11" t="n">
        <v>10</v>
      </c>
      <c r="G11" t="inlineStr">
        <is>
          <t>Quarterly</t>
        </is>
      </c>
      <c r="H11" t="inlineStr">
        <is>
          <t>No</t>
        </is>
      </c>
      <c r="I11" t="inlineStr">
        <is>
          <t>-</t>
        </is>
      </c>
      <c r="J11" t="inlineStr">
        <is>
          <t>Yes</t>
        </is>
      </c>
      <c r="K11" t="n">
        <v>20</v>
      </c>
      <c r="L11" t="n">
        <v>15</v>
      </c>
      <c r="M11" t="n">
        <v>15</v>
      </c>
    </row>
    <row r="12">
      <c r="A12" t="n">
        <v>3241</v>
      </c>
      <c r="B12" t="inlineStr">
        <is>
          <t>Rita Castro</t>
        </is>
      </c>
      <c r="C12" t="inlineStr">
        <is>
          <t>Core</t>
        </is>
      </c>
      <c r="D12" s="21" t="n">
        <v>45358</v>
      </c>
      <c r="E12" t="inlineStr">
        <is>
          <t>No</t>
        </is>
      </c>
      <c r="F12" t="n">
        <v>5</v>
      </c>
      <c r="G12" t="inlineStr">
        <is>
          <t>Monthly</t>
        </is>
      </c>
      <c r="H12" t="inlineStr">
        <is>
          <t>No</t>
        </is>
      </c>
      <c r="I12" t="inlineStr">
        <is>
          <t>-</t>
        </is>
      </c>
      <c r="J12" t="inlineStr">
        <is>
          <t>No</t>
        </is>
      </c>
      <c r="K12" t="n">
        <v>0</v>
      </c>
      <c r="L12" t="n">
        <v>1</v>
      </c>
      <c r="M12" t="n">
        <v>4</v>
      </c>
    </row>
    <row r="13">
      <c r="A13" t="n">
        <v>3242</v>
      </c>
      <c r="B13" t="inlineStr">
        <is>
          <t>Marco Túlio</t>
        </is>
      </c>
      <c r="C13" t="inlineStr">
        <is>
          <t>Ultimate</t>
        </is>
      </c>
      <c r="D13" s="21" t="n">
        <v>45359</v>
      </c>
      <c r="E13" t="inlineStr">
        <is>
          <t>Yes</t>
        </is>
      </c>
      <c r="F13" t="n">
        <v>15</v>
      </c>
      <c r="G13" t="inlineStr">
        <is>
          <t>Annual</t>
        </is>
      </c>
      <c r="H13" t="inlineStr">
        <is>
          <t>Yes</t>
        </is>
      </c>
      <c r="I13" t="n">
        <v>30</v>
      </c>
      <c r="J13" t="inlineStr">
        <is>
          <t>Yes</t>
        </is>
      </c>
      <c r="K13" t="n">
        <v>20</v>
      </c>
      <c r="L13" t="n">
        <v>20</v>
      </c>
      <c r="M13" t="n">
        <v>45</v>
      </c>
    </row>
    <row r="14">
      <c r="A14" t="n">
        <v>3243</v>
      </c>
      <c r="B14" t="inlineStr">
        <is>
          <t>Lívia Silveira</t>
        </is>
      </c>
      <c r="C14" t="inlineStr">
        <is>
          <t>Standard</t>
        </is>
      </c>
      <c r="D14" s="21" t="n">
        <v>45360</v>
      </c>
      <c r="E14" t="inlineStr">
        <is>
          <t>No</t>
        </is>
      </c>
      <c r="F14" t="n">
        <v>10</v>
      </c>
      <c r="G14" t="inlineStr">
        <is>
          <t>Monthly</t>
        </is>
      </c>
      <c r="H14" t="inlineStr">
        <is>
          <t>No</t>
        </is>
      </c>
      <c r="I14" t="inlineStr">
        <is>
          <t>-</t>
        </is>
      </c>
      <c r="J14" t="inlineStr">
        <is>
          <t>Yes</t>
        </is>
      </c>
      <c r="K14" t="n">
        <v>20</v>
      </c>
      <c r="L14" t="n">
        <v>10</v>
      </c>
      <c r="M14" t="n">
        <v>20</v>
      </c>
    </row>
    <row r="15">
      <c r="A15" t="n">
        <v>3244</v>
      </c>
      <c r="B15" t="inlineStr">
        <is>
          <t>Diogo Sousa</t>
        </is>
      </c>
      <c r="C15" t="inlineStr">
        <is>
          <t>Core</t>
        </is>
      </c>
      <c r="D15" s="21" t="n">
        <v>45361</v>
      </c>
      <c r="E15" t="inlineStr">
        <is>
          <t>Yes</t>
        </is>
      </c>
      <c r="F15" t="n">
        <v>5</v>
      </c>
      <c r="G15" t="inlineStr">
        <is>
          <t>Quarterly</t>
        </is>
      </c>
      <c r="H15" t="inlineStr">
        <is>
          <t>No</t>
        </is>
      </c>
      <c r="I15" t="inlineStr">
        <is>
          <t>-</t>
        </is>
      </c>
      <c r="J15" t="inlineStr">
        <is>
          <t>No</t>
        </is>
      </c>
      <c r="K15" t="n">
        <v>0</v>
      </c>
      <c r="L15" t="n">
        <v>0</v>
      </c>
      <c r="M15" t="n">
        <v>5</v>
      </c>
    </row>
    <row r="16">
      <c r="A16" t="n">
        <v>3245</v>
      </c>
      <c r="B16" t="inlineStr">
        <is>
          <t>Fernanda Lima</t>
        </is>
      </c>
      <c r="C16" t="inlineStr">
        <is>
          <t>Ultimate</t>
        </is>
      </c>
      <c r="D16" s="21" t="n">
        <v>45362</v>
      </c>
      <c r="E16" t="inlineStr">
        <is>
          <t>No</t>
        </is>
      </c>
      <c r="F16" t="n">
        <v>15</v>
      </c>
      <c r="G16" t="inlineStr">
        <is>
          <t>Monthly</t>
        </is>
      </c>
      <c r="H16" t="inlineStr">
        <is>
          <t>Yes</t>
        </is>
      </c>
      <c r="I16" t="n">
        <v>30</v>
      </c>
      <c r="J16" t="inlineStr">
        <is>
          <t>Yes</t>
        </is>
      </c>
      <c r="K16" t="n">
        <v>20</v>
      </c>
      <c r="L16" t="n">
        <v>8</v>
      </c>
      <c r="M16" t="n">
        <v>57</v>
      </c>
    </row>
    <row r="17">
      <c r="A17" t="n">
        <v>3246</v>
      </c>
      <c r="B17" t="inlineStr">
        <is>
          <t>Caio Pereira</t>
        </is>
      </c>
      <c r="C17" t="inlineStr">
        <is>
          <t>Standard</t>
        </is>
      </c>
      <c r="D17" s="21" t="n">
        <v>45363</v>
      </c>
      <c r="E17" t="inlineStr">
        <is>
          <t>Yes</t>
        </is>
      </c>
      <c r="F17" t="n">
        <v>10</v>
      </c>
      <c r="G17" t="inlineStr">
        <is>
          <t>Annual</t>
        </is>
      </c>
      <c r="H17" t="inlineStr">
        <is>
          <t>No</t>
        </is>
      </c>
      <c r="I17" t="inlineStr">
        <is>
          <t>-</t>
        </is>
      </c>
      <c r="J17" t="inlineStr">
        <is>
          <t>Yes</t>
        </is>
      </c>
      <c r="K17" t="n">
        <v>20</v>
      </c>
      <c r="L17" t="n">
        <v>12</v>
      </c>
      <c r="M17" t="n">
        <v>18</v>
      </c>
    </row>
    <row r="18">
      <c r="A18" t="n">
        <v>3247</v>
      </c>
      <c r="B18" t="inlineStr">
        <is>
          <t>Beatriz Gomes</t>
        </is>
      </c>
      <c r="C18" t="inlineStr">
        <is>
          <t>Core</t>
        </is>
      </c>
      <c r="D18" s="21" t="n">
        <v>45364</v>
      </c>
      <c r="E18" t="inlineStr">
        <is>
          <t>No</t>
        </is>
      </c>
      <c r="F18" t="n">
        <v>5</v>
      </c>
      <c r="G18" t="inlineStr">
        <is>
          <t>Monthly</t>
        </is>
      </c>
      <c r="H18" t="inlineStr">
        <is>
          <t>No</t>
        </is>
      </c>
      <c r="I18" t="inlineStr">
        <is>
          <t>-</t>
        </is>
      </c>
      <c r="J18" t="inlineStr">
        <is>
          <t>No</t>
        </is>
      </c>
      <c r="K18" t="n">
        <v>0</v>
      </c>
      <c r="L18" t="n">
        <v>2</v>
      </c>
      <c r="M18" t="n">
        <v>3</v>
      </c>
    </row>
    <row r="19">
      <c r="A19" t="n">
        <v>3248</v>
      </c>
      <c r="B19" t="inlineStr">
        <is>
          <t>Cesar Oliveira</t>
        </is>
      </c>
      <c r="C19" t="inlineStr">
        <is>
          <t>Ultimate</t>
        </is>
      </c>
      <c r="D19" s="21" t="n">
        <v>45365</v>
      </c>
      <c r="E19" t="inlineStr">
        <is>
          <t>Yes</t>
        </is>
      </c>
      <c r="F19" t="n">
        <v>15</v>
      </c>
      <c r="G19" t="inlineStr">
        <is>
          <t>Quarterly</t>
        </is>
      </c>
      <c r="H19" t="inlineStr">
        <is>
          <t>Yes</t>
        </is>
      </c>
      <c r="I19" t="n">
        <v>30</v>
      </c>
      <c r="J19" t="inlineStr">
        <is>
          <t>Yes</t>
        </is>
      </c>
      <c r="K19" t="n">
        <v>20</v>
      </c>
      <c r="L19" t="n">
        <v>7</v>
      </c>
      <c r="M19" t="n">
        <v>58</v>
      </c>
    </row>
    <row r="20">
      <c r="A20" t="n">
        <v>3249</v>
      </c>
      <c r="B20" t="inlineStr">
        <is>
          <t>Débora Machado</t>
        </is>
      </c>
      <c r="C20" t="inlineStr">
        <is>
          <t>Standard</t>
        </is>
      </c>
      <c r="D20" s="21" t="n">
        <v>45366</v>
      </c>
      <c r="E20" t="inlineStr">
        <is>
          <t>No</t>
        </is>
      </c>
      <c r="F20" t="n">
        <v>10</v>
      </c>
      <c r="G20" t="inlineStr">
        <is>
          <t>Monthly</t>
        </is>
      </c>
      <c r="H20" t="inlineStr">
        <is>
          <t>No</t>
        </is>
      </c>
      <c r="I20" t="inlineStr">
        <is>
          <t>-</t>
        </is>
      </c>
      <c r="J20" t="inlineStr">
        <is>
          <t>Yes</t>
        </is>
      </c>
      <c r="K20" t="n">
        <v>20</v>
      </c>
      <c r="L20" t="n">
        <v>5</v>
      </c>
      <c r="M20" t="n">
        <v>25</v>
      </c>
    </row>
    <row r="21">
      <c r="A21" t="n">
        <v>3250</v>
      </c>
      <c r="B21" t="inlineStr">
        <is>
          <t>Eduardo Vargas</t>
        </is>
      </c>
      <c r="C21" t="inlineStr">
        <is>
          <t>Core</t>
        </is>
      </c>
      <c r="D21" s="21" t="n">
        <v>45367</v>
      </c>
      <c r="E21" t="inlineStr">
        <is>
          <t>Yes</t>
        </is>
      </c>
      <c r="F21" t="n">
        <v>5</v>
      </c>
      <c r="G21" t="inlineStr">
        <is>
          <t>Annual</t>
        </is>
      </c>
      <c r="H21" t="inlineStr">
        <is>
          <t>No</t>
        </is>
      </c>
      <c r="I21" t="inlineStr">
        <is>
          <t>-</t>
        </is>
      </c>
      <c r="J21" t="inlineStr">
        <is>
          <t>No</t>
        </is>
      </c>
      <c r="K21" t="n">
        <v>0</v>
      </c>
      <c r="L21" t="n">
        <v>0</v>
      </c>
      <c r="M21" t="n">
        <v>5</v>
      </c>
    </row>
    <row r="22">
      <c r="A22" t="n">
        <v>3251</v>
      </c>
      <c r="B22" t="inlineStr">
        <is>
          <t>Gabriela Santos</t>
        </is>
      </c>
      <c r="C22" t="inlineStr">
        <is>
          <t>Ultimate</t>
        </is>
      </c>
      <c r="D22" s="21" t="n">
        <v>45368</v>
      </c>
      <c r="E22" t="inlineStr">
        <is>
          <t>No</t>
        </is>
      </c>
      <c r="F22" t="n">
        <v>15</v>
      </c>
      <c r="G22" t="inlineStr">
        <is>
          <t>Monthly</t>
        </is>
      </c>
      <c r="H22" t="inlineStr">
        <is>
          <t>Yes</t>
        </is>
      </c>
      <c r="I22" t="n">
        <v>30</v>
      </c>
      <c r="J22" t="inlineStr">
        <is>
          <t>Yes</t>
        </is>
      </c>
      <c r="K22" t="n">
        <v>20</v>
      </c>
      <c r="L22" t="n">
        <v>3</v>
      </c>
      <c r="M22" t="n">
        <v>62</v>
      </c>
    </row>
    <row r="23">
      <c r="A23" t="n">
        <v>3252</v>
      </c>
      <c r="B23" t="inlineStr">
        <is>
          <t>Henrique Dias</t>
        </is>
      </c>
      <c r="C23" t="inlineStr">
        <is>
          <t>Standard</t>
        </is>
      </c>
      <c r="D23" s="21" t="n">
        <v>45369</v>
      </c>
      <c r="E23" t="inlineStr">
        <is>
          <t>Yes</t>
        </is>
      </c>
      <c r="F23" t="n">
        <v>10</v>
      </c>
      <c r="G23" t="inlineStr">
        <is>
          <t>Quarterly</t>
        </is>
      </c>
      <c r="H23" t="inlineStr">
        <is>
          <t>No</t>
        </is>
      </c>
      <c r="I23" t="inlineStr">
        <is>
          <t>-</t>
        </is>
      </c>
      <c r="J23" t="inlineStr">
        <is>
          <t>Yes</t>
        </is>
      </c>
      <c r="K23" t="n">
        <v>20</v>
      </c>
      <c r="L23" t="n">
        <v>15</v>
      </c>
      <c r="M23" t="n">
        <v>15</v>
      </c>
    </row>
    <row r="24">
      <c r="A24" t="n">
        <v>3253</v>
      </c>
      <c r="B24" t="inlineStr">
        <is>
          <t>Isabela Moreira</t>
        </is>
      </c>
      <c r="C24" t="inlineStr">
        <is>
          <t>Core</t>
        </is>
      </c>
      <c r="D24" s="21" t="n">
        <v>45370</v>
      </c>
      <c r="E24" t="inlineStr">
        <is>
          <t>No</t>
        </is>
      </c>
      <c r="F24" t="n">
        <v>5</v>
      </c>
      <c r="G24" t="inlineStr">
        <is>
          <t>Monthly</t>
        </is>
      </c>
      <c r="H24" t="inlineStr">
        <is>
          <t>No</t>
        </is>
      </c>
      <c r="I24" t="inlineStr">
        <is>
          <t>-</t>
        </is>
      </c>
      <c r="J24" t="inlineStr">
        <is>
          <t>No</t>
        </is>
      </c>
      <c r="K24" t="n">
        <v>0</v>
      </c>
      <c r="L24" t="n">
        <v>1</v>
      </c>
      <c r="M24" t="n">
        <v>4</v>
      </c>
    </row>
    <row r="25">
      <c r="A25" t="n">
        <v>3254</v>
      </c>
      <c r="B25" t="inlineStr">
        <is>
          <t>Joaquim Barbosa</t>
        </is>
      </c>
      <c r="C25" t="inlineStr">
        <is>
          <t>Ultimate</t>
        </is>
      </c>
      <c r="D25" s="21" t="n">
        <v>45371</v>
      </c>
      <c r="E25" t="inlineStr">
        <is>
          <t>Yes</t>
        </is>
      </c>
      <c r="F25" t="n">
        <v>15</v>
      </c>
      <c r="G25" t="inlineStr">
        <is>
          <t>Annual</t>
        </is>
      </c>
      <c r="H25" t="inlineStr">
        <is>
          <t>Yes</t>
        </is>
      </c>
      <c r="I25" t="n">
        <v>30</v>
      </c>
      <c r="J25" t="inlineStr">
        <is>
          <t>Yes</t>
        </is>
      </c>
      <c r="K25" t="n">
        <v>20</v>
      </c>
      <c r="L25" t="n">
        <v>20</v>
      </c>
      <c r="M25" t="n">
        <v>45</v>
      </c>
    </row>
    <row r="26">
      <c r="A26" t="n">
        <v>3255</v>
      </c>
      <c r="B26" t="inlineStr">
        <is>
          <t>Lara Rocha</t>
        </is>
      </c>
      <c r="C26" t="inlineStr">
        <is>
          <t>Standard</t>
        </is>
      </c>
      <c r="D26" s="21" t="n">
        <v>45372</v>
      </c>
      <c r="E26" t="inlineStr">
        <is>
          <t>No</t>
        </is>
      </c>
      <c r="F26" t="n">
        <v>10</v>
      </c>
      <c r="G26" t="inlineStr">
        <is>
          <t>Monthly</t>
        </is>
      </c>
      <c r="H26" t="inlineStr">
        <is>
          <t>No</t>
        </is>
      </c>
      <c r="I26" t="inlineStr">
        <is>
          <t>-</t>
        </is>
      </c>
      <c r="J26" t="inlineStr">
        <is>
          <t>Yes</t>
        </is>
      </c>
      <c r="K26" t="n">
        <v>20</v>
      </c>
      <c r="L26" t="n">
        <v>10</v>
      </c>
      <c r="M26" t="n">
        <v>20</v>
      </c>
    </row>
    <row r="27">
      <c r="A27" t="n">
        <v>3256</v>
      </c>
      <c r="B27" t="inlineStr">
        <is>
          <t>Matheus Silva</t>
        </is>
      </c>
      <c r="C27" t="inlineStr">
        <is>
          <t>Core</t>
        </is>
      </c>
      <c r="D27" s="21" t="n">
        <v>45373</v>
      </c>
      <c r="E27" t="inlineStr">
        <is>
          <t>Yes</t>
        </is>
      </c>
      <c r="F27" t="n">
        <v>5</v>
      </c>
      <c r="G27" t="inlineStr">
        <is>
          <t>Quarterly</t>
        </is>
      </c>
      <c r="H27" t="inlineStr">
        <is>
          <t>No</t>
        </is>
      </c>
      <c r="I27" t="inlineStr">
        <is>
          <t>-</t>
        </is>
      </c>
      <c r="J27" t="inlineStr">
        <is>
          <t>No</t>
        </is>
      </c>
      <c r="K27" t="n">
        <v>0</v>
      </c>
      <c r="L27" t="n">
        <v>0</v>
      </c>
      <c r="M27" t="n">
        <v>5</v>
      </c>
    </row>
    <row r="28">
      <c r="A28" t="n">
        <v>3257</v>
      </c>
      <c r="B28" t="inlineStr">
        <is>
          <t>Nicole Costa</t>
        </is>
      </c>
      <c r="C28" t="inlineStr">
        <is>
          <t>Ultimate</t>
        </is>
      </c>
      <c r="D28" s="21" t="n">
        <v>45374</v>
      </c>
      <c r="E28" t="inlineStr">
        <is>
          <t>No</t>
        </is>
      </c>
      <c r="F28" t="n">
        <v>15</v>
      </c>
      <c r="G28" t="inlineStr">
        <is>
          <t>Monthly</t>
        </is>
      </c>
      <c r="H28" t="inlineStr">
        <is>
          <t>Yes</t>
        </is>
      </c>
      <c r="I28" t="n">
        <v>30</v>
      </c>
      <c r="J28" t="inlineStr">
        <is>
          <t>Yes</t>
        </is>
      </c>
      <c r="K28" t="n">
        <v>20</v>
      </c>
      <c r="L28" t="n">
        <v>5</v>
      </c>
      <c r="M28" t="n">
        <v>60</v>
      </c>
    </row>
    <row r="29">
      <c r="A29" t="n">
        <v>3258</v>
      </c>
      <c r="B29" t="inlineStr">
        <is>
          <t>Otávio Mendonça</t>
        </is>
      </c>
      <c r="C29" t="inlineStr">
        <is>
          <t>Standard</t>
        </is>
      </c>
      <c r="D29" s="21" t="n">
        <v>45375</v>
      </c>
      <c r="E29" t="inlineStr">
        <is>
          <t>Yes</t>
        </is>
      </c>
      <c r="F29" t="n">
        <v>10</v>
      </c>
      <c r="G29" t="inlineStr">
        <is>
          <t>Annual</t>
        </is>
      </c>
      <c r="H29" t="inlineStr">
        <is>
          <t>No</t>
        </is>
      </c>
      <c r="I29" t="inlineStr">
        <is>
          <t>-</t>
        </is>
      </c>
      <c r="J29" t="inlineStr">
        <is>
          <t>Yes</t>
        </is>
      </c>
      <c r="K29" t="n">
        <v>20</v>
      </c>
      <c r="L29" t="n">
        <v>15</v>
      </c>
      <c r="M29" t="n">
        <v>15</v>
      </c>
    </row>
    <row r="30">
      <c r="A30" t="n">
        <v>3259</v>
      </c>
      <c r="B30" t="inlineStr">
        <is>
          <t>Paula Ferreira</t>
        </is>
      </c>
      <c r="C30" t="inlineStr">
        <is>
          <t>Core</t>
        </is>
      </c>
      <c r="D30" s="21" t="n">
        <v>45376</v>
      </c>
      <c r="E30" t="inlineStr">
        <is>
          <t>No</t>
        </is>
      </c>
      <c r="F30" t="n">
        <v>5</v>
      </c>
      <c r="G30" t="inlineStr">
        <is>
          <t>Monthly</t>
        </is>
      </c>
      <c r="H30" t="inlineStr">
        <is>
          <t>No</t>
        </is>
      </c>
      <c r="I30" t="inlineStr">
        <is>
          <t>-</t>
        </is>
      </c>
      <c r="J30" t="inlineStr">
        <is>
          <t>No</t>
        </is>
      </c>
      <c r="K30" t="n">
        <v>0</v>
      </c>
      <c r="L30" t="n">
        <v>1</v>
      </c>
      <c r="M30" t="n">
        <v>4</v>
      </c>
    </row>
    <row r="31">
      <c r="A31" t="n">
        <v>3260</v>
      </c>
      <c r="B31" t="inlineStr">
        <is>
          <t>Raquel Alves</t>
        </is>
      </c>
      <c r="C31" t="inlineStr">
        <is>
          <t>Ultimate</t>
        </is>
      </c>
      <c r="D31" s="21" t="n">
        <v>45377</v>
      </c>
      <c r="E31" t="inlineStr">
        <is>
          <t>Yes</t>
        </is>
      </c>
      <c r="F31" t="n">
        <v>15</v>
      </c>
      <c r="G31" t="inlineStr">
        <is>
          <t>Quarterly</t>
        </is>
      </c>
      <c r="H31" t="inlineStr">
        <is>
          <t>Yes</t>
        </is>
      </c>
      <c r="I31" t="n">
        <v>30</v>
      </c>
      <c r="J31" t="inlineStr">
        <is>
          <t>Yes</t>
        </is>
      </c>
      <c r="K31" t="n">
        <v>20</v>
      </c>
      <c r="L31" t="n">
        <v>7</v>
      </c>
      <c r="M31" t="n">
        <v>58</v>
      </c>
    </row>
    <row r="32">
      <c r="A32" t="n">
        <v>3261</v>
      </c>
      <c r="B32" t="inlineStr">
        <is>
          <t>Samuel Pires</t>
        </is>
      </c>
      <c r="C32" t="inlineStr">
        <is>
          <t>Standard</t>
        </is>
      </c>
      <c r="D32" s="21" t="n">
        <v>45378</v>
      </c>
      <c r="E32" t="inlineStr">
        <is>
          <t>No</t>
        </is>
      </c>
      <c r="F32" t="n">
        <v>10</v>
      </c>
      <c r="G32" t="inlineStr">
        <is>
          <t>Monthly</t>
        </is>
      </c>
      <c r="H32" t="inlineStr">
        <is>
          <t>No</t>
        </is>
      </c>
      <c r="I32" t="inlineStr">
        <is>
          <t>-</t>
        </is>
      </c>
      <c r="J32" t="inlineStr">
        <is>
          <t>Yes</t>
        </is>
      </c>
      <c r="K32" t="n">
        <v>20</v>
      </c>
      <c r="L32" t="n">
        <v>10</v>
      </c>
      <c r="M32" t="n">
        <v>20</v>
      </c>
    </row>
    <row r="33">
      <c r="A33" t="n">
        <v>3262</v>
      </c>
      <c r="B33" t="inlineStr">
        <is>
          <t>Tânia Barros</t>
        </is>
      </c>
      <c r="C33" t="inlineStr">
        <is>
          <t>Core</t>
        </is>
      </c>
      <c r="D33" s="21" t="n">
        <v>45379</v>
      </c>
      <c r="E33" t="inlineStr">
        <is>
          <t>Yes</t>
        </is>
      </c>
      <c r="F33" t="n">
        <v>5</v>
      </c>
      <c r="G33" t="inlineStr">
        <is>
          <t>Annual</t>
        </is>
      </c>
      <c r="H33" t="inlineStr">
        <is>
          <t>No</t>
        </is>
      </c>
      <c r="I33" t="inlineStr">
        <is>
          <t>-</t>
        </is>
      </c>
      <c r="J33" t="inlineStr">
        <is>
          <t>No</t>
        </is>
      </c>
      <c r="K33" t="n">
        <v>0</v>
      </c>
      <c r="L33" t="n">
        <v>0</v>
      </c>
      <c r="M33" t="n">
        <v>5</v>
      </c>
    </row>
    <row r="34">
      <c r="A34" t="n">
        <v>3263</v>
      </c>
      <c r="B34" t="inlineStr">
        <is>
          <t>Vinicius Lima</t>
        </is>
      </c>
      <c r="C34" t="inlineStr">
        <is>
          <t>Ultimate</t>
        </is>
      </c>
      <c r="D34" s="21" t="n">
        <v>45380</v>
      </c>
      <c r="E34" t="inlineStr">
        <is>
          <t>No</t>
        </is>
      </c>
      <c r="F34" t="n">
        <v>15</v>
      </c>
      <c r="G34" t="inlineStr">
        <is>
          <t>Monthly</t>
        </is>
      </c>
      <c r="H34" t="inlineStr">
        <is>
          <t>Yes</t>
        </is>
      </c>
      <c r="I34" t="n">
        <v>30</v>
      </c>
      <c r="J34" t="inlineStr">
        <is>
          <t>Yes</t>
        </is>
      </c>
      <c r="K34" t="n">
        <v>20</v>
      </c>
      <c r="L34" t="n">
        <v>3</v>
      </c>
      <c r="M34" t="n">
        <v>62</v>
      </c>
    </row>
    <row r="35">
      <c r="A35" t="n">
        <v>3264</v>
      </c>
      <c r="B35" t="inlineStr">
        <is>
          <t>Yasmin Teixeira</t>
        </is>
      </c>
      <c r="C35" t="inlineStr">
        <is>
          <t>Standard</t>
        </is>
      </c>
      <c r="D35" s="21" t="n">
        <v>45381</v>
      </c>
      <c r="E35" t="inlineStr">
        <is>
          <t>Yes</t>
        </is>
      </c>
      <c r="F35" t="n">
        <v>10</v>
      </c>
      <c r="G35" t="inlineStr">
        <is>
          <t>Quarterly</t>
        </is>
      </c>
      <c r="H35" t="inlineStr">
        <is>
          <t>No</t>
        </is>
      </c>
      <c r="I35" t="inlineStr">
        <is>
          <t>-</t>
        </is>
      </c>
      <c r="J35" t="inlineStr">
        <is>
          <t>Yes</t>
        </is>
      </c>
      <c r="K35" t="n">
        <v>20</v>
      </c>
      <c r="L35" t="n">
        <v>15</v>
      </c>
      <c r="M35" t="n">
        <v>15</v>
      </c>
    </row>
    <row r="36">
      <c r="A36" t="n">
        <v>3265</v>
      </c>
      <c r="B36" t="inlineStr">
        <is>
          <t>Zé Carlos</t>
        </is>
      </c>
      <c r="C36" t="inlineStr">
        <is>
          <t>Core</t>
        </is>
      </c>
      <c r="D36" s="21" t="n">
        <v>45382</v>
      </c>
      <c r="E36" t="inlineStr">
        <is>
          <t>No</t>
        </is>
      </c>
      <c r="F36" t="n">
        <v>5</v>
      </c>
      <c r="G36" t="inlineStr">
        <is>
          <t>Monthly</t>
        </is>
      </c>
      <c r="H36" t="inlineStr">
        <is>
          <t>No</t>
        </is>
      </c>
      <c r="I36" t="inlineStr">
        <is>
          <t>-</t>
        </is>
      </c>
      <c r="J36" t="inlineStr">
        <is>
          <t>No</t>
        </is>
      </c>
      <c r="K36" t="n">
        <v>0</v>
      </c>
      <c r="L36" t="n">
        <v>1</v>
      </c>
      <c r="M36" t="n">
        <v>4</v>
      </c>
    </row>
    <row r="37">
      <c r="A37" t="n">
        <v>3266</v>
      </c>
      <c r="B37" t="inlineStr">
        <is>
          <t>Amanda Nogueira</t>
        </is>
      </c>
      <c r="C37" t="inlineStr">
        <is>
          <t>Core</t>
        </is>
      </c>
      <c r="D37" s="21" t="n">
        <v>45383</v>
      </c>
      <c r="E37" t="inlineStr">
        <is>
          <t>Yes</t>
        </is>
      </c>
      <c r="F37" t="n">
        <v>5</v>
      </c>
      <c r="G37" t="inlineStr">
        <is>
          <t>Monthly</t>
        </is>
      </c>
      <c r="H37" t="inlineStr">
        <is>
          <t>No</t>
        </is>
      </c>
      <c r="I37" t="inlineStr">
        <is>
          <t>-</t>
        </is>
      </c>
      <c r="J37" t="inlineStr">
        <is>
          <t>No</t>
        </is>
      </c>
      <c r="K37" t="n">
        <v>0</v>
      </c>
      <c r="L37" t="n">
        <v>0</v>
      </c>
      <c r="M37" t="n">
        <v>5</v>
      </c>
    </row>
    <row r="38">
      <c r="A38" t="n">
        <v>3267</v>
      </c>
      <c r="B38" t="inlineStr">
        <is>
          <t>Bruno Cavalheiro</t>
        </is>
      </c>
      <c r="C38" t="inlineStr">
        <is>
          <t>Ultimate</t>
        </is>
      </c>
      <c r="D38" s="21" t="n">
        <v>45384</v>
      </c>
      <c r="E38" t="inlineStr">
        <is>
          <t>No</t>
        </is>
      </c>
      <c r="F38" t="n">
        <v>15</v>
      </c>
      <c r="G38" t="inlineStr">
        <is>
          <t>Quarterly</t>
        </is>
      </c>
      <c r="H38" t="inlineStr">
        <is>
          <t>Yes</t>
        </is>
      </c>
      <c r="I38" t="n">
        <v>30</v>
      </c>
      <c r="J38" t="inlineStr">
        <is>
          <t>Yes</t>
        </is>
      </c>
      <c r="K38" t="n">
        <v>20</v>
      </c>
      <c r="L38" t="n">
        <v>7</v>
      </c>
      <c r="M38" t="n">
        <v>58</v>
      </c>
    </row>
    <row r="39">
      <c r="A39" t="n">
        <v>3268</v>
      </c>
      <c r="B39" t="inlineStr">
        <is>
          <t>Carla Dias</t>
        </is>
      </c>
      <c r="C39" t="inlineStr">
        <is>
          <t>Standard</t>
        </is>
      </c>
      <c r="D39" s="21" t="n">
        <v>45385</v>
      </c>
      <c r="E39" t="inlineStr">
        <is>
          <t>Yes</t>
        </is>
      </c>
      <c r="F39" t="n">
        <v>10</v>
      </c>
      <c r="G39" t="inlineStr">
        <is>
          <t>Annual</t>
        </is>
      </c>
      <c r="H39" t="inlineStr">
        <is>
          <t>No</t>
        </is>
      </c>
      <c r="I39" t="inlineStr">
        <is>
          <t>-</t>
        </is>
      </c>
      <c r="J39" t="inlineStr">
        <is>
          <t>Yes</t>
        </is>
      </c>
      <c r="K39" t="n">
        <v>20</v>
      </c>
      <c r="L39" t="n">
        <v>10</v>
      </c>
      <c r="M39" t="n">
        <v>20</v>
      </c>
    </row>
    <row r="40">
      <c r="A40" t="n">
        <v>3269</v>
      </c>
      <c r="B40" t="inlineStr">
        <is>
          <t>Diego Fontes</t>
        </is>
      </c>
      <c r="C40" t="inlineStr">
        <is>
          <t>Core</t>
        </is>
      </c>
      <c r="D40" s="21" t="n">
        <v>45386</v>
      </c>
      <c r="E40" t="inlineStr">
        <is>
          <t>No</t>
        </is>
      </c>
      <c r="F40" t="n">
        <v>5</v>
      </c>
      <c r="G40" t="inlineStr">
        <is>
          <t>Quarterly</t>
        </is>
      </c>
      <c r="H40" t="inlineStr">
        <is>
          <t>No</t>
        </is>
      </c>
      <c r="I40" t="inlineStr">
        <is>
          <t>-</t>
        </is>
      </c>
      <c r="J40" t="inlineStr">
        <is>
          <t>No</t>
        </is>
      </c>
      <c r="K40" t="n">
        <v>0</v>
      </c>
      <c r="L40" t="n">
        <v>1</v>
      </c>
      <c r="M40" t="n">
        <v>4</v>
      </c>
    </row>
    <row r="41">
      <c r="A41" t="n">
        <v>3270</v>
      </c>
      <c r="B41" t="inlineStr">
        <is>
          <t>Eunice Lima</t>
        </is>
      </c>
      <c r="C41" t="inlineStr">
        <is>
          <t>Ultimate</t>
        </is>
      </c>
      <c r="D41" s="21" t="n">
        <v>45387</v>
      </c>
      <c r="E41" t="inlineStr">
        <is>
          <t>Yes</t>
        </is>
      </c>
      <c r="F41" t="n">
        <v>15</v>
      </c>
      <c r="G41" t="inlineStr">
        <is>
          <t>Monthly</t>
        </is>
      </c>
      <c r="H41" t="inlineStr">
        <is>
          <t>Yes</t>
        </is>
      </c>
      <c r="I41" t="n">
        <v>30</v>
      </c>
      <c r="J41" t="inlineStr">
        <is>
          <t>Yes</t>
        </is>
      </c>
      <c r="K41" t="n">
        <v>20</v>
      </c>
      <c r="L41" t="n">
        <v>15</v>
      </c>
      <c r="M41" t="n">
        <v>50</v>
      </c>
    </row>
    <row r="42">
      <c r="A42" t="n">
        <v>3271</v>
      </c>
      <c r="B42" t="inlineStr">
        <is>
          <t>Fábio Martins</t>
        </is>
      </c>
      <c r="C42" t="inlineStr">
        <is>
          <t>Standard</t>
        </is>
      </c>
      <c r="D42" s="21" t="n">
        <v>45388</v>
      </c>
      <c r="E42" t="inlineStr">
        <is>
          <t>No</t>
        </is>
      </c>
      <c r="F42" t="n">
        <v>10</v>
      </c>
      <c r="G42" t="inlineStr">
        <is>
          <t>Monthly</t>
        </is>
      </c>
      <c r="H42" t="inlineStr">
        <is>
          <t>No</t>
        </is>
      </c>
      <c r="I42" t="inlineStr">
        <is>
          <t>-</t>
        </is>
      </c>
      <c r="J42" t="inlineStr">
        <is>
          <t>Yes</t>
        </is>
      </c>
      <c r="K42" t="n">
        <v>20</v>
      </c>
      <c r="L42" t="n">
        <v>5</v>
      </c>
      <c r="M42" t="n">
        <v>25</v>
      </c>
    </row>
    <row r="43">
      <c r="A43" t="n">
        <v>3272</v>
      </c>
      <c r="B43" t="inlineStr">
        <is>
          <t>Gisele Araújo</t>
        </is>
      </c>
      <c r="C43" t="inlineStr">
        <is>
          <t>Core</t>
        </is>
      </c>
      <c r="D43" s="21" t="n">
        <v>45389</v>
      </c>
      <c r="E43" t="inlineStr">
        <is>
          <t>Yes</t>
        </is>
      </c>
      <c r="F43" t="n">
        <v>5</v>
      </c>
      <c r="G43" t="inlineStr">
        <is>
          <t>Annual</t>
        </is>
      </c>
      <c r="H43" t="inlineStr">
        <is>
          <t>No</t>
        </is>
      </c>
      <c r="I43" t="inlineStr">
        <is>
          <t>-</t>
        </is>
      </c>
      <c r="J43" t="inlineStr">
        <is>
          <t>No</t>
        </is>
      </c>
      <c r="K43" t="n">
        <v>0</v>
      </c>
      <c r="L43" t="n">
        <v>0</v>
      </c>
      <c r="M43" t="n">
        <v>5</v>
      </c>
    </row>
    <row r="44">
      <c r="A44" t="n">
        <v>3273</v>
      </c>
      <c r="B44" t="inlineStr">
        <is>
          <t>Hélio Castro</t>
        </is>
      </c>
      <c r="C44" t="inlineStr">
        <is>
          <t>Ultimate</t>
        </is>
      </c>
      <c r="D44" s="21" t="n">
        <v>45390</v>
      </c>
      <c r="E44" t="inlineStr">
        <is>
          <t>No</t>
        </is>
      </c>
      <c r="F44" t="n">
        <v>15</v>
      </c>
      <c r="G44" t="inlineStr">
        <is>
          <t>Quarterly</t>
        </is>
      </c>
      <c r="H44" t="inlineStr">
        <is>
          <t>Yes</t>
        </is>
      </c>
      <c r="I44" t="n">
        <v>30</v>
      </c>
      <c r="J44" t="inlineStr">
        <is>
          <t>Yes</t>
        </is>
      </c>
      <c r="K44" t="n">
        <v>20</v>
      </c>
      <c r="L44" t="n">
        <v>20</v>
      </c>
      <c r="M44" t="n">
        <v>45</v>
      </c>
    </row>
    <row r="45">
      <c r="A45" t="n">
        <v>3274</v>
      </c>
      <c r="B45" t="inlineStr">
        <is>
          <t>Ingrid Menezes</t>
        </is>
      </c>
      <c r="C45" t="inlineStr">
        <is>
          <t>Standard</t>
        </is>
      </c>
      <c r="D45" s="21" t="n">
        <v>45391</v>
      </c>
      <c r="E45" t="inlineStr">
        <is>
          <t>Yes</t>
        </is>
      </c>
      <c r="F45" t="n">
        <v>10</v>
      </c>
      <c r="G45" t="inlineStr">
        <is>
          <t>Quarterly</t>
        </is>
      </c>
      <c r="H45" t="inlineStr">
        <is>
          <t>No</t>
        </is>
      </c>
      <c r="I45" t="inlineStr">
        <is>
          <t>-</t>
        </is>
      </c>
      <c r="J45" t="inlineStr">
        <is>
          <t>Yes</t>
        </is>
      </c>
      <c r="K45" t="n">
        <v>20</v>
      </c>
      <c r="L45" t="n">
        <v>12</v>
      </c>
      <c r="M45" t="n">
        <v>18</v>
      </c>
    </row>
    <row r="46">
      <c r="A46" t="n">
        <v>3275</v>
      </c>
      <c r="B46" t="inlineStr">
        <is>
          <t>Jorge Baptista</t>
        </is>
      </c>
      <c r="C46" t="inlineStr">
        <is>
          <t>Core</t>
        </is>
      </c>
      <c r="D46" s="21" t="n">
        <v>45392</v>
      </c>
      <c r="E46" t="inlineStr">
        <is>
          <t>No</t>
        </is>
      </c>
      <c r="F46" t="n">
        <v>5</v>
      </c>
      <c r="G46" t="inlineStr">
        <is>
          <t>Monthly</t>
        </is>
      </c>
      <c r="H46" t="inlineStr">
        <is>
          <t>No</t>
        </is>
      </c>
      <c r="I46" t="inlineStr">
        <is>
          <t>-</t>
        </is>
      </c>
      <c r="J46" t="inlineStr">
        <is>
          <t>No</t>
        </is>
      </c>
      <c r="K46" t="n">
        <v>0</v>
      </c>
      <c r="L46" t="n">
        <v>2</v>
      </c>
      <c r="M46" t="n">
        <v>3</v>
      </c>
    </row>
    <row r="47">
      <c r="A47" t="n">
        <v>3276</v>
      </c>
      <c r="B47" t="inlineStr">
        <is>
          <t>Kléber Oliveira</t>
        </is>
      </c>
      <c r="C47" t="inlineStr">
        <is>
          <t>Ultimate</t>
        </is>
      </c>
      <c r="D47" s="21" t="n">
        <v>45393</v>
      </c>
      <c r="E47" t="inlineStr">
        <is>
          <t>Yes</t>
        </is>
      </c>
      <c r="F47" t="n">
        <v>15</v>
      </c>
      <c r="G47" t="inlineStr">
        <is>
          <t>Annual</t>
        </is>
      </c>
      <c r="H47" t="inlineStr">
        <is>
          <t>Yes</t>
        </is>
      </c>
      <c r="I47" t="n">
        <v>30</v>
      </c>
      <c r="J47" t="inlineStr">
        <is>
          <t>Yes</t>
        </is>
      </c>
      <c r="K47" t="n">
        <v>20</v>
      </c>
      <c r="L47" t="n">
        <v>5</v>
      </c>
      <c r="M47" t="n">
        <v>60</v>
      </c>
    </row>
    <row r="48">
      <c r="A48" t="n">
        <v>3277</v>
      </c>
      <c r="B48" t="inlineStr">
        <is>
          <t>Luciana Freitas</t>
        </is>
      </c>
      <c r="C48" t="inlineStr">
        <is>
          <t>Standard</t>
        </is>
      </c>
      <c r="D48" s="21" t="n">
        <v>45394</v>
      </c>
      <c r="E48" t="inlineStr">
        <is>
          <t>No</t>
        </is>
      </c>
      <c r="F48" t="n">
        <v>10</v>
      </c>
      <c r="G48" t="inlineStr">
        <is>
          <t>Monthly</t>
        </is>
      </c>
      <c r="H48" t="inlineStr">
        <is>
          <t>No</t>
        </is>
      </c>
      <c r="I48" t="inlineStr">
        <is>
          <t>-</t>
        </is>
      </c>
      <c r="J48" t="inlineStr">
        <is>
          <t>Yes</t>
        </is>
      </c>
      <c r="K48" t="n">
        <v>20</v>
      </c>
      <c r="L48" t="n">
        <v>10</v>
      </c>
      <c r="M48" t="n">
        <v>20</v>
      </c>
    </row>
    <row r="49">
      <c r="A49" t="n">
        <v>3278</v>
      </c>
      <c r="B49" t="inlineStr">
        <is>
          <t>Márcia Eller</t>
        </is>
      </c>
      <c r="C49" t="inlineStr">
        <is>
          <t>Core</t>
        </is>
      </c>
      <c r="D49" s="21" t="n">
        <v>45395</v>
      </c>
      <c r="E49" t="inlineStr">
        <is>
          <t>Yes</t>
        </is>
      </c>
      <c r="F49" t="n">
        <v>5</v>
      </c>
      <c r="G49" t="inlineStr">
        <is>
          <t>Quarterly</t>
        </is>
      </c>
      <c r="H49" t="inlineStr">
        <is>
          <t>No</t>
        </is>
      </c>
      <c r="I49" t="inlineStr">
        <is>
          <t>-</t>
        </is>
      </c>
      <c r="J49" t="inlineStr">
        <is>
          <t>No</t>
        </is>
      </c>
      <c r="K49" t="n">
        <v>0</v>
      </c>
      <c r="L49" t="n">
        <v>0</v>
      </c>
      <c r="M49" t="n">
        <v>5</v>
      </c>
    </row>
    <row r="50">
      <c r="A50" t="n">
        <v>3279</v>
      </c>
      <c r="B50" t="inlineStr">
        <is>
          <t>Nilo Peçanha</t>
        </is>
      </c>
      <c r="C50" t="inlineStr">
        <is>
          <t>Ultimate</t>
        </is>
      </c>
      <c r="D50" s="21" t="n">
        <v>45396</v>
      </c>
      <c r="E50" t="inlineStr">
        <is>
          <t>No</t>
        </is>
      </c>
      <c r="F50" t="n">
        <v>15</v>
      </c>
      <c r="G50" t="inlineStr">
        <is>
          <t>Monthly</t>
        </is>
      </c>
      <c r="H50" t="inlineStr">
        <is>
          <t>Yes</t>
        </is>
      </c>
      <c r="I50" t="n">
        <v>30</v>
      </c>
      <c r="J50" t="inlineStr">
        <is>
          <t>Yes</t>
        </is>
      </c>
      <c r="K50" t="n">
        <v>20</v>
      </c>
      <c r="L50" t="n">
        <v>3</v>
      </c>
      <c r="M50" t="n">
        <v>62</v>
      </c>
    </row>
    <row r="51">
      <c r="A51" t="n">
        <v>3280</v>
      </c>
      <c r="B51" t="inlineStr">
        <is>
          <t>Oscar Neves</t>
        </is>
      </c>
      <c r="C51" t="inlineStr">
        <is>
          <t>Standard</t>
        </is>
      </c>
      <c r="D51" s="21" t="n">
        <v>45397</v>
      </c>
      <c r="E51" t="inlineStr">
        <is>
          <t>Yes</t>
        </is>
      </c>
      <c r="F51" t="n">
        <v>10</v>
      </c>
      <c r="G51" t="inlineStr">
        <is>
          <t>Annual</t>
        </is>
      </c>
      <c r="H51" t="inlineStr">
        <is>
          <t>No</t>
        </is>
      </c>
      <c r="I51" t="inlineStr">
        <is>
          <t>-</t>
        </is>
      </c>
      <c r="J51" t="inlineStr">
        <is>
          <t>Yes</t>
        </is>
      </c>
      <c r="K51" t="n">
        <v>20</v>
      </c>
      <c r="L51" t="n">
        <v>15</v>
      </c>
      <c r="M51" t="n">
        <v>15</v>
      </c>
    </row>
    <row r="52">
      <c r="A52" t="n">
        <v>3281</v>
      </c>
      <c r="B52" t="inlineStr">
        <is>
          <t>Patrícia Soares</t>
        </is>
      </c>
      <c r="C52" t="inlineStr">
        <is>
          <t>Core</t>
        </is>
      </c>
      <c r="D52" s="21" t="n">
        <v>45398</v>
      </c>
      <c r="E52" t="inlineStr">
        <is>
          <t>No</t>
        </is>
      </c>
      <c r="F52" t="n">
        <v>5</v>
      </c>
      <c r="G52" t="inlineStr">
        <is>
          <t>Monthly</t>
        </is>
      </c>
      <c r="H52" t="inlineStr">
        <is>
          <t>No</t>
        </is>
      </c>
      <c r="I52" t="inlineStr">
        <is>
          <t>-</t>
        </is>
      </c>
      <c r="J52" t="inlineStr">
        <is>
          <t>No</t>
        </is>
      </c>
      <c r="K52" t="n">
        <v>0</v>
      </c>
      <c r="L52" t="n">
        <v>1</v>
      </c>
      <c r="M52" t="n">
        <v>4</v>
      </c>
    </row>
    <row r="53">
      <c r="A53" t="n">
        <v>3282</v>
      </c>
      <c r="B53" t="inlineStr">
        <is>
          <t>Quirino Gonçalves</t>
        </is>
      </c>
      <c r="C53" t="inlineStr">
        <is>
          <t>Ultimate</t>
        </is>
      </c>
      <c r="D53" s="21" t="n">
        <v>45399</v>
      </c>
      <c r="E53" t="inlineStr">
        <is>
          <t>Yes</t>
        </is>
      </c>
      <c r="F53" t="n">
        <v>15</v>
      </c>
      <c r="G53" t="inlineStr">
        <is>
          <t>Quarterly</t>
        </is>
      </c>
      <c r="H53" t="inlineStr">
        <is>
          <t>Yes</t>
        </is>
      </c>
      <c r="I53" t="n">
        <v>30</v>
      </c>
      <c r="J53" t="inlineStr">
        <is>
          <t>Yes</t>
        </is>
      </c>
      <c r="K53" t="n">
        <v>20</v>
      </c>
      <c r="L53" t="n">
        <v>7</v>
      </c>
      <c r="M53" t="n">
        <v>58</v>
      </c>
    </row>
    <row r="54">
      <c r="A54" t="n">
        <v>3283</v>
      </c>
      <c r="B54" t="inlineStr">
        <is>
          <t>Raul Machado</t>
        </is>
      </c>
      <c r="C54" t="inlineStr">
        <is>
          <t>Standard</t>
        </is>
      </c>
      <c r="D54" s="21" t="n">
        <v>45400</v>
      </c>
      <c r="E54" t="inlineStr">
        <is>
          <t>No</t>
        </is>
      </c>
      <c r="F54" t="n">
        <v>10</v>
      </c>
      <c r="G54" t="inlineStr">
        <is>
          <t>Monthly</t>
        </is>
      </c>
      <c r="H54" t="inlineStr">
        <is>
          <t>No</t>
        </is>
      </c>
      <c r="I54" t="inlineStr">
        <is>
          <t>-</t>
        </is>
      </c>
      <c r="J54" t="inlineStr">
        <is>
          <t>Yes</t>
        </is>
      </c>
      <c r="K54" t="n">
        <v>20</v>
      </c>
      <c r="L54" t="n">
        <v>10</v>
      </c>
      <c r="M54" t="n">
        <v>20</v>
      </c>
    </row>
    <row r="55">
      <c r="A55" t="n">
        <v>3284</v>
      </c>
      <c r="B55" t="inlineStr">
        <is>
          <t>Sônia Lobo</t>
        </is>
      </c>
      <c r="C55" t="inlineStr">
        <is>
          <t>Core</t>
        </is>
      </c>
      <c r="D55" s="21" t="n">
        <v>45401</v>
      </c>
      <c r="E55" t="inlineStr">
        <is>
          <t>Yes</t>
        </is>
      </c>
      <c r="F55" t="n">
        <v>5</v>
      </c>
      <c r="G55" t="inlineStr">
        <is>
          <t>Annual</t>
        </is>
      </c>
      <c r="H55" t="inlineStr">
        <is>
          <t>No</t>
        </is>
      </c>
      <c r="I55" t="inlineStr">
        <is>
          <t>-</t>
        </is>
      </c>
      <c r="J55" t="inlineStr">
        <is>
          <t>No</t>
        </is>
      </c>
      <c r="K55" t="n">
        <v>0</v>
      </c>
      <c r="L55" t="n">
        <v>0</v>
      </c>
      <c r="M55" t="n">
        <v>5</v>
      </c>
    </row>
    <row r="56">
      <c r="A56" t="n">
        <v>3285</v>
      </c>
      <c r="B56" t="inlineStr">
        <is>
          <t>Tiago Ramos</t>
        </is>
      </c>
      <c r="C56" t="inlineStr">
        <is>
          <t>Ultimate</t>
        </is>
      </c>
      <c r="D56" s="21" t="n">
        <v>45402</v>
      </c>
      <c r="E56" t="inlineStr">
        <is>
          <t>No</t>
        </is>
      </c>
      <c r="F56" t="n">
        <v>15</v>
      </c>
      <c r="G56" t="inlineStr">
        <is>
          <t>Monthly</t>
        </is>
      </c>
      <c r="H56" t="inlineStr">
        <is>
          <t>Yes</t>
        </is>
      </c>
      <c r="I56" t="n">
        <v>30</v>
      </c>
      <c r="J56" t="inlineStr">
        <is>
          <t>Yes</t>
        </is>
      </c>
      <c r="K56" t="n">
        <v>20</v>
      </c>
      <c r="L56" t="n">
        <v>20</v>
      </c>
      <c r="M56" t="n">
        <v>45</v>
      </c>
    </row>
    <row r="57">
      <c r="A57" t="n">
        <v>3286</v>
      </c>
      <c r="B57" t="inlineStr">
        <is>
          <t>Ugo Pires</t>
        </is>
      </c>
      <c r="C57" t="inlineStr">
        <is>
          <t>Standard</t>
        </is>
      </c>
      <c r="D57" s="21" t="n">
        <v>45403</v>
      </c>
      <c r="E57" t="inlineStr">
        <is>
          <t>Yes</t>
        </is>
      </c>
      <c r="F57" t="n">
        <v>10</v>
      </c>
      <c r="G57" t="inlineStr">
        <is>
          <t>Quarterly</t>
        </is>
      </c>
      <c r="H57" t="inlineStr">
        <is>
          <t>No</t>
        </is>
      </c>
      <c r="I57" t="inlineStr">
        <is>
          <t>-</t>
        </is>
      </c>
      <c r="J57" t="inlineStr">
        <is>
          <t>Yes</t>
        </is>
      </c>
      <c r="K57" t="n">
        <v>20</v>
      </c>
      <c r="L57" t="n">
        <v>15</v>
      </c>
      <c r="M57" t="n">
        <v>15</v>
      </c>
    </row>
    <row r="58">
      <c r="A58" t="n">
        <v>3287</v>
      </c>
      <c r="B58" t="inlineStr">
        <is>
          <t>Valéria Nobre</t>
        </is>
      </c>
      <c r="C58" t="inlineStr">
        <is>
          <t>Core</t>
        </is>
      </c>
      <c r="D58" s="21" t="n">
        <v>45404</v>
      </c>
      <c r="E58" t="inlineStr">
        <is>
          <t>No</t>
        </is>
      </c>
      <c r="F58" t="n">
        <v>5</v>
      </c>
      <c r="G58" t="inlineStr">
        <is>
          <t>Monthly</t>
        </is>
      </c>
      <c r="H58" t="inlineStr">
        <is>
          <t>No</t>
        </is>
      </c>
      <c r="I58" t="inlineStr">
        <is>
          <t>-</t>
        </is>
      </c>
      <c r="J58" t="inlineStr">
        <is>
          <t>No</t>
        </is>
      </c>
      <c r="K58" t="n">
        <v>0</v>
      </c>
      <c r="L58" t="n">
        <v>1</v>
      </c>
      <c r="M58" t="n">
        <v>4</v>
      </c>
    </row>
    <row r="59">
      <c r="A59" t="n">
        <v>3288</v>
      </c>
      <c r="B59" t="inlineStr">
        <is>
          <t>William Siqueira</t>
        </is>
      </c>
      <c r="C59" t="inlineStr">
        <is>
          <t>Ultimate</t>
        </is>
      </c>
      <c r="D59" s="21" t="n">
        <v>45405</v>
      </c>
      <c r="E59" t="inlineStr">
        <is>
          <t>Yes</t>
        </is>
      </c>
      <c r="F59" t="n">
        <v>15</v>
      </c>
      <c r="G59" t="inlineStr">
        <is>
          <t>Annual</t>
        </is>
      </c>
      <c r="H59" t="inlineStr">
        <is>
          <t>Yes</t>
        </is>
      </c>
      <c r="I59" t="n">
        <v>30</v>
      </c>
      <c r="J59" t="inlineStr">
        <is>
          <t>Yes</t>
        </is>
      </c>
      <c r="K59" t="n">
        <v>20</v>
      </c>
      <c r="L59" t="n">
        <v>3</v>
      </c>
      <c r="M59" t="n">
        <v>62</v>
      </c>
    </row>
    <row r="60">
      <c r="A60" t="n">
        <v>3289</v>
      </c>
      <c r="B60" t="inlineStr">
        <is>
          <t>Xuxa Meneghel</t>
        </is>
      </c>
      <c r="C60" t="inlineStr">
        <is>
          <t>Standard</t>
        </is>
      </c>
      <c r="D60" s="21" t="n">
        <v>45406</v>
      </c>
      <c r="E60" t="inlineStr">
        <is>
          <t>No</t>
        </is>
      </c>
      <c r="F60" t="n">
        <v>10</v>
      </c>
      <c r="G60" t="inlineStr">
        <is>
          <t>Monthly</t>
        </is>
      </c>
      <c r="H60" t="inlineStr">
        <is>
          <t>No</t>
        </is>
      </c>
      <c r="I60" t="inlineStr">
        <is>
          <t>-</t>
        </is>
      </c>
      <c r="J60" t="inlineStr">
        <is>
          <t>Yes</t>
        </is>
      </c>
      <c r="K60" t="n">
        <v>20</v>
      </c>
      <c r="L60" t="n">
        <v>10</v>
      </c>
      <c r="M60" t="n">
        <v>20</v>
      </c>
    </row>
    <row r="61">
      <c r="A61" t="n">
        <v>3290</v>
      </c>
      <c r="B61" t="inlineStr">
        <is>
          <t>Yara Figueiredo</t>
        </is>
      </c>
      <c r="C61" t="inlineStr">
        <is>
          <t>Core</t>
        </is>
      </c>
      <c r="D61" s="21" t="n">
        <v>45407</v>
      </c>
      <c r="E61" t="inlineStr">
        <is>
          <t>Yes</t>
        </is>
      </c>
      <c r="F61" t="n">
        <v>5</v>
      </c>
      <c r="G61" t="inlineStr">
        <is>
          <t>Quarterly</t>
        </is>
      </c>
      <c r="H61" t="inlineStr">
        <is>
          <t>No</t>
        </is>
      </c>
      <c r="I61" t="inlineStr">
        <is>
          <t>-</t>
        </is>
      </c>
      <c r="J61" t="inlineStr">
        <is>
          <t>No</t>
        </is>
      </c>
      <c r="K61" t="n">
        <v>0</v>
      </c>
      <c r="L61" t="n">
        <v>0</v>
      </c>
      <c r="M61" t="n">
        <v>5</v>
      </c>
    </row>
    <row r="62">
      <c r="A62" t="n">
        <v>3291</v>
      </c>
      <c r="B62" t="inlineStr">
        <is>
          <t>Zacarias Alves</t>
        </is>
      </c>
      <c r="C62" t="inlineStr">
        <is>
          <t>Ultimate</t>
        </is>
      </c>
      <c r="D62" s="21" t="n">
        <v>45408</v>
      </c>
      <c r="E62" t="inlineStr">
        <is>
          <t>No</t>
        </is>
      </c>
      <c r="F62" t="n">
        <v>15</v>
      </c>
      <c r="G62" t="inlineStr">
        <is>
          <t>Monthly</t>
        </is>
      </c>
      <c r="H62" t="inlineStr">
        <is>
          <t>Yes</t>
        </is>
      </c>
      <c r="I62" t="n">
        <v>30</v>
      </c>
      <c r="J62" t="inlineStr">
        <is>
          <t>Yes</t>
        </is>
      </c>
      <c r="K62" t="n">
        <v>20</v>
      </c>
      <c r="L62" t="n">
        <v>5</v>
      </c>
      <c r="M62" t="n">
        <v>60</v>
      </c>
    </row>
    <row r="63">
      <c r="A63" t="n">
        <v>3292</v>
      </c>
      <c r="B63" t="inlineStr">
        <is>
          <t>Amanda Bynes</t>
        </is>
      </c>
      <c r="C63" t="inlineStr">
        <is>
          <t>Standard</t>
        </is>
      </c>
      <c r="D63" s="21" t="n">
        <v>45409</v>
      </c>
      <c r="E63" t="inlineStr">
        <is>
          <t>Yes</t>
        </is>
      </c>
      <c r="F63" t="n">
        <v>10</v>
      </c>
      <c r="G63" t="inlineStr">
        <is>
          <t>Annual</t>
        </is>
      </c>
      <c r="H63" t="inlineStr">
        <is>
          <t>No</t>
        </is>
      </c>
      <c r="I63" t="inlineStr">
        <is>
          <t>-</t>
        </is>
      </c>
      <c r="J63" t="inlineStr">
        <is>
          <t>Yes</t>
        </is>
      </c>
      <c r="K63" t="n">
        <v>20</v>
      </c>
      <c r="L63" t="n">
        <v>15</v>
      </c>
      <c r="M63" t="n">
        <v>15</v>
      </c>
    </row>
    <row r="64">
      <c r="A64" t="n">
        <v>3293</v>
      </c>
      <c r="B64" t="inlineStr">
        <is>
          <t>Bruno Mars</t>
        </is>
      </c>
      <c r="C64" t="inlineStr">
        <is>
          <t>Core</t>
        </is>
      </c>
      <c r="D64" s="21" t="n">
        <v>45410</v>
      </c>
      <c r="E64" t="inlineStr">
        <is>
          <t>No</t>
        </is>
      </c>
      <c r="F64" t="n">
        <v>5</v>
      </c>
      <c r="G64" t="inlineStr">
        <is>
          <t>Monthly</t>
        </is>
      </c>
      <c r="H64" t="inlineStr">
        <is>
          <t>No</t>
        </is>
      </c>
      <c r="I64" t="inlineStr">
        <is>
          <t>-</t>
        </is>
      </c>
      <c r="J64" t="inlineStr">
        <is>
          <t>No</t>
        </is>
      </c>
      <c r="K64" t="n">
        <v>0</v>
      </c>
      <c r="L64" t="n">
        <v>1</v>
      </c>
      <c r="M64" t="n">
        <v>4</v>
      </c>
    </row>
    <row r="65">
      <c r="A65" t="n">
        <v>3294</v>
      </c>
      <c r="B65" t="inlineStr">
        <is>
          <t>Carla Bruni</t>
        </is>
      </c>
      <c r="C65" t="inlineStr">
        <is>
          <t>Ultimate</t>
        </is>
      </c>
      <c r="D65" s="21" t="n">
        <v>45411</v>
      </c>
      <c r="E65" t="inlineStr">
        <is>
          <t>Yes</t>
        </is>
      </c>
      <c r="F65" t="n">
        <v>15</v>
      </c>
      <c r="G65" t="inlineStr">
        <is>
          <t>Quarterly</t>
        </is>
      </c>
      <c r="H65" t="inlineStr">
        <is>
          <t>Yes</t>
        </is>
      </c>
      <c r="I65" t="n">
        <v>30</v>
      </c>
      <c r="J65" t="inlineStr">
        <is>
          <t>Yes</t>
        </is>
      </c>
      <c r="K65" t="n">
        <v>20</v>
      </c>
      <c r="L65" t="n">
        <v>20</v>
      </c>
      <c r="M65" t="n">
        <v>45</v>
      </c>
    </row>
    <row r="66">
      <c r="A66" t="n">
        <v>3295</v>
      </c>
      <c r="B66" t="inlineStr">
        <is>
          <t>Diego Maradona</t>
        </is>
      </c>
      <c r="C66" t="inlineStr">
        <is>
          <t>Standard</t>
        </is>
      </c>
      <c r="D66" s="21" t="n">
        <v>45412</v>
      </c>
      <c r="E66" t="inlineStr">
        <is>
          <t>No</t>
        </is>
      </c>
      <c r="F66" t="n">
        <v>10</v>
      </c>
      <c r="G66" t="inlineStr">
        <is>
          <t>Monthly</t>
        </is>
      </c>
      <c r="H66" t="inlineStr">
        <is>
          <t>No</t>
        </is>
      </c>
      <c r="I66" t="inlineStr">
        <is>
          <t>-</t>
        </is>
      </c>
      <c r="J66" t="inlineStr">
        <is>
          <t>Yes</t>
        </is>
      </c>
      <c r="K66" t="n">
        <v>20</v>
      </c>
      <c r="L66" t="n">
        <v>5</v>
      </c>
      <c r="M66" t="n">
        <v>25</v>
      </c>
    </row>
    <row r="67">
      <c r="A67" t="n">
        <v>3296</v>
      </c>
      <c r="B67" t="inlineStr">
        <is>
          <t>Estela Marques</t>
        </is>
      </c>
      <c r="C67" t="inlineStr">
        <is>
          <t>Core</t>
        </is>
      </c>
      <c r="D67" s="21" t="n">
        <v>45413</v>
      </c>
      <c r="E67" t="inlineStr">
        <is>
          <t>No</t>
        </is>
      </c>
      <c r="F67" t="n">
        <v>5</v>
      </c>
      <c r="G67" t="inlineStr">
        <is>
          <t>Monthly</t>
        </is>
      </c>
      <c r="H67" t="inlineStr">
        <is>
          <t>No</t>
        </is>
      </c>
      <c r="I67" t="inlineStr">
        <is>
          <t>-</t>
        </is>
      </c>
      <c r="J67" t="inlineStr">
        <is>
          <t>No</t>
        </is>
      </c>
      <c r="K67" t="n">
        <v>0</v>
      </c>
      <c r="L67" t="n">
        <v>0</v>
      </c>
      <c r="M67" t="n">
        <v>5</v>
      </c>
    </row>
    <row r="68">
      <c r="A68" t="n">
        <v>3297</v>
      </c>
      <c r="B68" t="inlineStr">
        <is>
          <t>Fábio Nobre</t>
        </is>
      </c>
      <c r="C68" t="inlineStr">
        <is>
          <t>Ultimate</t>
        </is>
      </c>
      <c r="D68" s="21" t="n">
        <v>45414</v>
      </c>
      <c r="E68" t="inlineStr">
        <is>
          <t>Yes</t>
        </is>
      </c>
      <c r="F68" t="n">
        <v>15</v>
      </c>
      <c r="G68" t="inlineStr">
        <is>
          <t>Quarterly</t>
        </is>
      </c>
      <c r="H68" t="inlineStr">
        <is>
          <t>Yes</t>
        </is>
      </c>
      <c r="I68" t="n">
        <v>30</v>
      </c>
      <c r="J68" t="inlineStr">
        <is>
          <t>Yes</t>
        </is>
      </c>
      <c r="K68" t="n">
        <v>20</v>
      </c>
      <c r="L68" t="n">
        <v>7</v>
      </c>
      <c r="M68" t="n">
        <v>58</v>
      </c>
    </row>
    <row r="69">
      <c r="A69" t="n">
        <v>3298</v>
      </c>
      <c r="B69" t="inlineStr">
        <is>
          <t>Gabriel Oliveira</t>
        </is>
      </c>
      <c r="C69" t="inlineStr">
        <is>
          <t>Standard</t>
        </is>
      </c>
      <c r="D69" s="21" t="n">
        <v>45415</v>
      </c>
      <c r="E69" t="inlineStr">
        <is>
          <t>No</t>
        </is>
      </c>
      <c r="F69" t="n">
        <v>10</v>
      </c>
      <c r="G69" t="inlineStr">
        <is>
          <t>Annual</t>
        </is>
      </c>
      <c r="H69" t="inlineStr">
        <is>
          <t>No</t>
        </is>
      </c>
      <c r="I69" t="inlineStr">
        <is>
          <t>-</t>
        </is>
      </c>
      <c r="J69" t="inlineStr">
        <is>
          <t>Yes</t>
        </is>
      </c>
      <c r="K69" t="n">
        <v>20</v>
      </c>
      <c r="L69" t="n">
        <v>10</v>
      </c>
      <c r="M69" t="n">
        <v>20</v>
      </c>
    </row>
    <row r="70">
      <c r="A70" t="n">
        <v>3299</v>
      </c>
      <c r="B70" t="inlineStr">
        <is>
          <t>Helena Santos</t>
        </is>
      </c>
      <c r="C70" t="inlineStr">
        <is>
          <t>Core</t>
        </is>
      </c>
      <c r="D70" s="21" t="n">
        <v>45416</v>
      </c>
      <c r="E70" t="inlineStr">
        <is>
          <t>Yes</t>
        </is>
      </c>
      <c r="F70" t="n">
        <v>5</v>
      </c>
      <c r="G70" t="inlineStr">
        <is>
          <t>Quarterly</t>
        </is>
      </c>
      <c r="H70" t="inlineStr">
        <is>
          <t>No</t>
        </is>
      </c>
      <c r="I70" t="inlineStr">
        <is>
          <t>-</t>
        </is>
      </c>
      <c r="J70" t="inlineStr">
        <is>
          <t>No</t>
        </is>
      </c>
      <c r="K70" t="n">
        <v>0</v>
      </c>
      <c r="L70" t="n">
        <v>1</v>
      </c>
      <c r="M70" t="n">
        <v>4</v>
      </c>
    </row>
    <row r="71">
      <c r="A71" t="n">
        <v>3300</v>
      </c>
      <c r="B71" t="inlineStr">
        <is>
          <t>Ivan Carvalho</t>
        </is>
      </c>
      <c r="C71" t="inlineStr">
        <is>
          <t>Ultimate</t>
        </is>
      </c>
      <c r="D71" s="21" t="n">
        <v>45417</v>
      </c>
      <c r="E71" t="inlineStr">
        <is>
          <t>No</t>
        </is>
      </c>
      <c r="F71" t="n">
        <v>15</v>
      </c>
      <c r="G71" t="inlineStr">
        <is>
          <t>Monthly</t>
        </is>
      </c>
      <c r="H71" t="inlineStr">
        <is>
          <t>Yes</t>
        </is>
      </c>
      <c r="I71" t="n">
        <v>30</v>
      </c>
      <c r="J71" t="inlineStr">
        <is>
          <t>Yes</t>
        </is>
      </c>
      <c r="K71" t="n">
        <v>20</v>
      </c>
      <c r="L71" t="n">
        <v>15</v>
      </c>
      <c r="M71" t="n">
        <v>50</v>
      </c>
    </row>
    <row r="72">
      <c r="A72" t="n">
        <v>3301</v>
      </c>
      <c r="B72" t="inlineStr">
        <is>
          <t>Júlia Ferreira</t>
        </is>
      </c>
      <c r="C72" t="inlineStr">
        <is>
          <t>Standard</t>
        </is>
      </c>
      <c r="D72" s="21" t="n">
        <v>45418</v>
      </c>
      <c r="E72" t="inlineStr">
        <is>
          <t>Yes</t>
        </is>
      </c>
      <c r="F72" t="n">
        <v>10</v>
      </c>
      <c r="G72" t="inlineStr">
        <is>
          <t>Monthly</t>
        </is>
      </c>
      <c r="H72" t="inlineStr">
        <is>
          <t>No</t>
        </is>
      </c>
      <c r="I72" t="inlineStr">
        <is>
          <t>-</t>
        </is>
      </c>
      <c r="J72" t="inlineStr">
        <is>
          <t>Yes</t>
        </is>
      </c>
      <c r="K72" t="n">
        <v>20</v>
      </c>
      <c r="L72" t="n">
        <v>5</v>
      </c>
      <c r="M72" t="n">
        <v>25</v>
      </c>
    </row>
    <row r="73">
      <c r="A73" t="n">
        <v>3302</v>
      </c>
      <c r="B73" t="inlineStr">
        <is>
          <t>Karla Alves</t>
        </is>
      </c>
      <c r="C73" t="inlineStr">
        <is>
          <t>Core</t>
        </is>
      </c>
      <c r="D73" s="21" t="n">
        <v>45419</v>
      </c>
      <c r="E73" t="inlineStr">
        <is>
          <t>No</t>
        </is>
      </c>
      <c r="F73" t="n">
        <v>5</v>
      </c>
      <c r="G73" t="inlineStr">
        <is>
          <t>Annual</t>
        </is>
      </c>
      <c r="H73" t="inlineStr">
        <is>
          <t>No</t>
        </is>
      </c>
      <c r="I73" t="inlineStr">
        <is>
          <t>-</t>
        </is>
      </c>
      <c r="J73" t="inlineStr">
        <is>
          <t>No</t>
        </is>
      </c>
      <c r="K73" t="n">
        <v>0</v>
      </c>
      <c r="L73" t="n">
        <v>0</v>
      </c>
      <c r="M73" t="n">
        <v>5</v>
      </c>
    </row>
    <row r="74">
      <c r="A74" t="n">
        <v>3303</v>
      </c>
      <c r="B74" t="inlineStr">
        <is>
          <t>Lucas Mendes</t>
        </is>
      </c>
      <c r="C74" t="inlineStr">
        <is>
          <t>Ultimate</t>
        </is>
      </c>
      <c r="D74" s="21" t="n">
        <v>45420</v>
      </c>
      <c r="E74" t="inlineStr">
        <is>
          <t>Yes</t>
        </is>
      </c>
      <c r="F74" t="n">
        <v>15</v>
      </c>
      <c r="G74" t="inlineStr">
        <is>
          <t>Quarterly</t>
        </is>
      </c>
      <c r="H74" t="inlineStr">
        <is>
          <t>Yes</t>
        </is>
      </c>
      <c r="I74" t="n">
        <v>30</v>
      </c>
      <c r="J74" t="inlineStr">
        <is>
          <t>Yes</t>
        </is>
      </c>
      <c r="K74" t="n">
        <v>20</v>
      </c>
      <c r="L74" t="n">
        <v>20</v>
      </c>
      <c r="M74" t="n">
        <v>45</v>
      </c>
    </row>
    <row r="75">
      <c r="A75" t="n">
        <v>3304</v>
      </c>
      <c r="B75" t="inlineStr">
        <is>
          <t>Mônica Gomes</t>
        </is>
      </c>
      <c r="C75" t="inlineStr">
        <is>
          <t>Standard</t>
        </is>
      </c>
      <c r="D75" s="21" t="n">
        <v>45421</v>
      </c>
      <c r="E75" t="inlineStr">
        <is>
          <t>No</t>
        </is>
      </c>
      <c r="F75" t="n">
        <v>10</v>
      </c>
      <c r="G75" t="inlineStr">
        <is>
          <t>Quarterly</t>
        </is>
      </c>
      <c r="H75" t="inlineStr">
        <is>
          <t>No</t>
        </is>
      </c>
      <c r="I75" t="inlineStr">
        <is>
          <t>-</t>
        </is>
      </c>
      <c r="J75" t="inlineStr">
        <is>
          <t>Yes</t>
        </is>
      </c>
      <c r="K75" t="n">
        <v>20</v>
      </c>
      <c r="L75" t="n">
        <v>12</v>
      </c>
      <c r="M75" t="n">
        <v>18</v>
      </c>
    </row>
    <row r="76">
      <c r="A76" t="n">
        <v>3305</v>
      </c>
      <c r="B76" t="inlineStr">
        <is>
          <t>Norberto Queiroz</t>
        </is>
      </c>
      <c r="C76" t="inlineStr">
        <is>
          <t>Core</t>
        </is>
      </c>
      <c r="D76" s="21" t="n">
        <v>45422</v>
      </c>
      <c r="E76" t="inlineStr">
        <is>
          <t>Yes</t>
        </is>
      </c>
      <c r="F76" t="n">
        <v>5</v>
      </c>
      <c r="G76" t="inlineStr">
        <is>
          <t>Monthly</t>
        </is>
      </c>
      <c r="H76" t="inlineStr">
        <is>
          <t>No</t>
        </is>
      </c>
      <c r="I76" t="inlineStr">
        <is>
          <t>-</t>
        </is>
      </c>
      <c r="J76" t="inlineStr">
        <is>
          <t>No</t>
        </is>
      </c>
      <c r="K76" t="n">
        <v>0</v>
      </c>
      <c r="L76" t="n">
        <v>2</v>
      </c>
      <c r="M76" t="n">
        <v>3</v>
      </c>
    </row>
    <row r="77">
      <c r="A77" t="n">
        <v>3306</v>
      </c>
      <c r="B77" t="inlineStr">
        <is>
          <t>Otávio Barros</t>
        </is>
      </c>
      <c r="C77" t="inlineStr">
        <is>
          <t>Ultimate</t>
        </is>
      </c>
      <c r="D77" s="21" t="n">
        <v>45423</v>
      </c>
      <c r="E77" t="inlineStr">
        <is>
          <t>No</t>
        </is>
      </c>
      <c r="F77" t="n">
        <v>15</v>
      </c>
      <c r="G77" t="inlineStr">
        <is>
          <t>Annual</t>
        </is>
      </c>
      <c r="H77" t="inlineStr">
        <is>
          <t>Yes</t>
        </is>
      </c>
      <c r="I77" t="n">
        <v>30</v>
      </c>
      <c r="J77" t="inlineStr">
        <is>
          <t>Yes</t>
        </is>
      </c>
      <c r="K77" t="n">
        <v>20</v>
      </c>
      <c r="L77" t="n">
        <v>5</v>
      </c>
      <c r="M77" t="n">
        <v>60</v>
      </c>
    </row>
    <row r="78">
      <c r="A78" t="n">
        <v>3307</v>
      </c>
      <c r="B78" t="inlineStr">
        <is>
          <t>Paula Vieira</t>
        </is>
      </c>
      <c r="C78" t="inlineStr">
        <is>
          <t>Standard</t>
        </is>
      </c>
      <c r="D78" s="21" t="n">
        <v>45424</v>
      </c>
      <c r="E78" t="inlineStr">
        <is>
          <t>Yes</t>
        </is>
      </c>
      <c r="F78" t="n">
        <v>10</v>
      </c>
      <c r="G78" t="inlineStr">
        <is>
          <t>Monthly</t>
        </is>
      </c>
      <c r="H78" t="inlineStr">
        <is>
          <t>No</t>
        </is>
      </c>
      <c r="I78" t="inlineStr">
        <is>
          <t>-</t>
        </is>
      </c>
      <c r="J78" t="inlineStr">
        <is>
          <t>Yes</t>
        </is>
      </c>
      <c r="K78" t="n">
        <v>20</v>
      </c>
      <c r="L78" t="n">
        <v>10</v>
      </c>
      <c r="M78" t="n">
        <v>20</v>
      </c>
    </row>
    <row r="79">
      <c r="A79" t="n">
        <v>3308</v>
      </c>
      <c r="B79" t="inlineStr">
        <is>
          <t>Quentin Ramos</t>
        </is>
      </c>
      <c r="C79" t="inlineStr">
        <is>
          <t>Core</t>
        </is>
      </c>
      <c r="D79" s="21" t="n">
        <v>45425</v>
      </c>
      <c r="E79" t="inlineStr">
        <is>
          <t>No</t>
        </is>
      </c>
      <c r="F79" t="n">
        <v>5</v>
      </c>
      <c r="G79" t="inlineStr">
        <is>
          <t>Quarterly</t>
        </is>
      </c>
      <c r="H79" t="inlineStr">
        <is>
          <t>No</t>
        </is>
      </c>
      <c r="I79" t="inlineStr">
        <is>
          <t>-</t>
        </is>
      </c>
      <c r="J79" t="inlineStr">
        <is>
          <t>No</t>
        </is>
      </c>
      <c r="K79" t="n">
        <v>0</v>
      </c>
      <c r="L79" t="n">
        <v>0</v>
      </c>
      <c r="M79" t="n">
        <v>5</v>
      </c>
    </row>
    <row r="80">
      <c r="A80" t="n">
        <v>3309</v>
      </c>
      <c r="B80" t="inlineStr">
        <is>
          <t>Raquel Novaes</t>
        </is>
      </c>
      <c r="C80" t="inlineStr">
        <is>
          <t>Ultimate</t>
        </is>
      </c>
      <c r="D80" s="21" t="n">
        <v>45426</v>
      </c>
      <c r="E80" t="inlineStr">
        <is>
          <t>Yes</t>
        </is>
      </c>
      <c r="F80" t="n">
        <v>15</v>
      </c>
      <c r="G80" t="inlineStr">
        <is>
          <t>Monthly</t>
        </is>
      </c>
      <c r="H80" t="inlineStr">
        <is>
          <t>Yes</t>
        </is>
      </c>
      <c r="I80" t="n">
        <v>30</v>
      </c>
      <c r="J80" t="inlineStr">
        <is>
          <t>Yes</t>
        </is>
      </c>
      <c r="K80" t="n">
        <v>20</v>
      </c>
      <c r="L80" t="n">
        <v>3</v>
      </c>
      <c r="M80" t="n">
        <v>62</v>
      </c>
    </row>
    <row r="81">
      <c r="A81" t="n">
        <v>3310</v>
      </c>
      <c r="B81" t="inlineStr">
        <is>
          <t>Samantha Lopes</t>
        </is>
      </c>
      <c r="C81" t="inlineStr">
        <is>
          <t>Standard</t>
        </is>
      </c>
      <c r="D81" s="21" t="n">
        <v>45427</v>
      </c>
      <c r="E81" t="inlineStr">
        <is>
          <t>No</t>
        </is>
      </c>
      <c r="F81" t="n">
        <v>10</v>
      </c>
      <c r="G81" t="inlineStr">
        <is>
          <t>Annual</t>
        </is>
      </c>
      <c r="H81" t="inlineStr">
        <is>
          <t>No</t>
        </is>
      </c>
      <c r="I81" t="inlineStr">
        <is>
          <t>-</t>
        </is>
      </c>
      <c r="J81" t="inlineStr">
        <is>
          <t>Yes</t>
        </is>
      </c>
      <c r="K81" t="n">
        <v>20</v>
      </c>
      <c r="L81" t="n">
        <v>15</v>
      </c>
      <c r="M81" t="n">
        <v>15</v>
      </c>
    </row>
    <row r="82">
      <c r="A82" t="n">
        <v>3311</v>
      </c>
      <c r="B82" t="inlineStr">
        <is>
          <t>Tiago Martins</t>
        </is>
      </c>
      <c r="C82" t="inlineStr">
        <is>
          <t>Core</t>
        </is>
      </c>
      <c r="D82" s="21" t="n">
        <v>45428</v>
      </c>
      <c r="E82" t="inlineStr">
        <is>
          <t>Yes</t>
        </is>
      </c>
      <c r="F82" t="n">
        <v>5</v>
      </c>
      <c r="G82" t="inlineStr">
        <is>
          <t>Monthly</t>
        </is>
      </c>
      <c r="H82" t="inlineStr">
        <is>
          <t>No</t>
        </is>
      </c>
      <c r="I82" t="inlineStr">
        <is>
          <t>-</t>
        </is>
      </c>
      <c r="J82" t="inlineStr">
        <is>
          <t>No</t>
        </is>
      </c>
      <c r="K82" t="n">
        <v>0</v>
      </c>
      <c r="L82" t="n">
        <v>1</v>
      </c>
      <c r="M82" t="n">
        <v>4</v>
      </c>
    </row>
    <row r="83">
      <c r="A83" t="n">
        <v>3312</v>
      </c>
      <c r="B83" t="inlineStr">
        <is>
          <t>Ulysses Guimarães</t>
        </is>
      </c>
      <c r="C83" t="inlineStr">
        <is>
          <t>Ultimate</t>
        </is>
      </c>
      <c r="D83" s="21" t="n">
        <v>45429</v>
      </c>
      <c r="E83" t="inlineStr">
        <is>
          <t>No</t>
        </is>
      </c>
      <c r="F83" t="n">
        <v>15</v>
      </c>
      <c r="G83" t="inlineStr">
        <is>
          <t>Quarterly</t>
        </is>
      </c>
      <c r="H83" t="inlineStr">
        <is>
          <t>Yes</t>
        </is>
      </c>
      <c r="I83" t="n">
        <v>30</v>
      </c>
      <c r="J83" t="inlineStr">
        <is>
          <t>Yes</t>
        </is>
      </c>
      <c r="K83" t="n">
        <v>20</v>
      </c>
      <c r="L83" t="n">
        <v>7</v>
      </c>
      <c r="M83" t="n">
        <v>58</v>
      </c>
    </row>
    <row r="84">
      <c r="A84" t="n">
        <v>3313</v>
      </c>
      <c r="B84" t="inlineStr">
        <is>
          <t>Vanessa Silva</t>
        </is>
      </c>
      <c r="C84" t="inlineStr">
        <is>
          <t>Standard</t>
        </is>
      </c>
      <c r="D84" s="21" t="n">
        <v>45430</v>
      </c>
      <c r="E84" t="inlineStr">
        <is>
          <t>Yes</t>
        </is>
      </c>
      <c r="F84" t="n">
        <v>10</v>
      </c>
      <c r="G84" t="inlineStr">
        <is>
          <t>Monthly</t>
        </is>
      </c>
      <c r="H84" t="inlineStr">
        <is>
          <t>No</t>
        </is>
      </c>
      <c r="I84" t="inlineStr">
        <is>
          <t>-</t>
        </is>
      </c>
      <c r="J84" t="inlineStr">
        <is>
          <t>Yes</t>
        </is>
      </c>
      <c r="K84" t="n">
        <v>20</v>
      </c>
      <c r="L84" t="n">
        <v>10</v>
      </c>
      <c r="M84" t="n">
        <v>20</v>
      </c>
    </row>
    <row r="85">
      <c r="A85" t="n">
        <v>3314</v>
      </c>
      <c r="B85" t="inlineStr">
        <is>
          <t>William Carneiro</t>
        </is>
      </c>
      <c r="C85" t="inlineStr">
        <is>
          <t>Core</t>
        </is>
      </c>
      <c r="D85" s="21" t="n">
        <v>45431</v>
      </c>
      <c r="E85" t="inlineStr">
        <is>
          <t>No</t>
        </is>
      </c>
      <c r="F85" t="n">
        <v>5</v>
      </c>
      <c r="G85" t="inlineStr">
        <is>
          <t>Annual</t>
        </is>
      </c>
      <c r="H85" t="inlineStr">
        <is>
          <t>No</t>
        </is>
      </c>
      <c r="I85" t="inlineStr">
        <is>
          <t>-</t>
        </is>
      </c>
      <c r="J85" t="inlineStr">
        <is>
          <t>No</t>
        </is>
      </c>
      <c r="K85" t="n">
        <v>0</v>
      </c>
      <c r="L85" t="n">
        <v>0</v>
      </c>
      <c r="M85" t="n">
        <v>5</v>
      </c>
    </row>
    <row r="86">
      <c r="A86" t="n">
        <v>3315</v>
      </c>
      <c r="B86" t="inlineStr">
        <is>
          <t>Ximena Rocha</t>
        </is>
      </c>
      <c r="C86" t="inlineStr">
        <is>
          <t>Ultimate</t>
        </is>
      </c>
      <c r="D86" s="21" t="n">
        <v>45432</v>
      </c>
      <c r="E86" t="inlineStr">
        <is>
          <t>Yes</t>
        </is>
      </c>
      <c r="F86" t="n">
        <v>15</v>
      </c>
      <c r="G86" t="inlineStr">
        <is>
          <t>Monthly</t>
        </is>
      </c>
      <c r="H86" t="inlineStr">
        <is>
          <t>Yes</t>
        </is>
      </c>
      <c r="I86" t="n">
        <v>30</v>
      </c>
      <c r="J86" t="inlineStr">
        <is>
          <t>Yes</t>
        </is>
      </c>
      <c r="K86" t="n">
        <v>20</v>
      </c>
      <c r="L86" t="n">
        <v>20</v>
      </c>
      <c r="M86" t="n">
        <v>45</v>
      </c>
    </row>
    <row r="87">
      <c r="A87" t="n">
        <v>3316</v>
      </c>
      <c r="B87" t="inlineStr">
        <is>
          <t>Yasmin Figueiredo</t>
        </is>
      </c>
      <c r="C87" t="inlineStr">
        <is>
          <t>Standard</t>
        </is>
      </c>
      <c r="D87" s="21" t="n">
        <v>45433</v>
      </c>
      <c r="E87" t="inlineStr">
        <is>
          <t>No</t>
        </is>
      </c>
      <c r="F87" t="n">
        <v>10</v>
      </c>
      <c r="G87" t="inlineStr">
        <is>
          <t>Quarterly</t>
        </is>
      </c>
      <c r="H87" t="inlineStr">
        <is>
          <t>No</t>
        </is>
      </c>
      <c r="I87" t="inlineStr">
        <is>
          <t>-</t>
        </is>
      </c>
      <c r="J87" t="inlineStr">
        <is>
          <t>Yes</t>
        </is>
      </c>
      <c r="K87" t="n">
        <v>20</v>
      </c>
      <c r="L87" t="n">
        <v>15</v>
      </c>
      <c r="M87" t="n">
        <v>15</v>
      </c>
    </row>
    <row r="88">
      <c r="A88" t="n">
        <v>3317</v>
      </c>
      <c r="B88" t="inlineStr">
        <is>
          <t>Zara Cunha</t>
        </is>
      </c>
      <c r="C88" t="inlineStr">
        <is>
          <t>Core</t>
        </is>
      </c>
      <c r="D88" s="21" t="n">
        <v>45434</v>
      </c>
      <c r="E88" t="inlineStr">
        <is>
          <t>Yes</t>
        </is>
      </c>
      <c r="F88" t="n">
        <v>5</v>
      </c>
      <c r="G88" t="inlineStr">
        <is>
          <t>Monthly</t>
        </is>
      </c>
      <c r="H88" t="inlineStr">
        <is>
          <t>No</t>
        </is>
      </c>
      <c r="I88" t="inlineStr">
        <is>
          <t>-</t>
        </is>
      </c>
      <c r="J88" t="inlineStr">
        <is>
          <t>No</t>
        </is>
      </c>
      <c r="K88" t="n">
        <v>0</v>
      </c>
      <c r="L88" t="n">
        <v>1</v>
      </c>
      <c r="M88" t="n">
        <v>4</v>
      </c>
    </row>
    <row r="89">
      <c r="A89" t="n">
        <v>3318</v>
      </c>
      <c r="B89" t="inlineStr">
        <is>
          <t>Alan Teixeira</t>
        </is>
      </c>
      <c r="C89" t="inlineStr">
        <is>
          <t>Ultimate</t>
        </is>
      </c>
      <c r="D89" s="21" t="n">
        <v>45435</v>
      </c>
      <c r="E89" t="inlineStr">
        <is>
          <t>No</t>
        </is>
      </c>
      <c r="F89" t="n">
        <v>15</v>
      </c>
      <c r="G89" t="inlineStr">
        <is>
          <t>Annual</t>
        </is>
      </c>
      <c r="H89" t="inlineStr">
        <is>
          <t>Yes</t>
        </is>
      </c>
      <c r="I89" t="n">
        <v>30</v>
      </c>
      <c r="J89" t="inlineStr">
        <is>
          <t>Yes</t>
        </is>
      </c>
      <c r="K89" t="n">
        <v>20</v>
      </c>
      <c r="L89" t="n">
        <v>3</v>
      </c>
      <c r="M89" t="n">
        <v>62</v>
      </c>
    </row>
    <row r="90">
      <c r="A90" t="n">
        <v>3319</v>
      </c>
      <c r="B90" t="inlineStr">
        <is>
          <t>Bárbara Oliveira</t>
        </is>
      </c>
      <c r="C90" t="inlineStr">
        <is>
          <t>Standard</t>
        </is>
      </c>
      <c r="D90" s="21" t="n">
        <v>45436</v>
      </c>
      <c r="E90" t="inlineStr">
        <is>
          <t>Yes</t>
        </is>
      </c>
      <c r="F90" t="n">
        <v>10</v>
      </c>
      <c r="G90" t="inlineStr">
        <is>
          <t>Monthly</t>
        </is>
      </c>
      <c r="H90" t="inlineStr">
        <is>
          <t>No</t>
        </is>
      </c>
      <c r="I90" t="inlineStr">
        <is>
          <t>-</t>
        </is>
      </c>
      <c r="J90" t="inlineStr">
        <is>
          <t>Yes</t>
        </is>
      </c>
      <c r="K90" t="n">
        <v>20</v>
      </c>
      <c r="L90" t="n">
        <v>10</v>
      </c>
      <c r="M90" t="n">
        <v>20</v>
      </c>
    </row>
    <row r="91">
      <c r="A91" t="n">
        <v>3320</v>
      </c>
      <c r="B91" t="inlineStr">
        <is>
          <t>Carlos Junqueira</t>
        </is>
      </c>
      <c r="C91" t="inlineStr">
        <is>
          <t>Core</t>
        </is>
      </c>
      <c r="D91" s="21" t="n">
        <v>45437</v>
      </c>
      <c r="E91" t="inlineStr">
        <is>
          <t>No</t>
        </is>
      </c>
      <c r="F91" t="n">
        <v>5</v>
      </c>
      <c r="G91" t="inlineStr">
        <is>
          <t>Quarterly</t>
        </is>
      </c>
      <c r="H91" t="inlineStr">
        <is>
          <t>No</t>
        </is>
      </c>
      <c r="I91" t="inlineStr">
        <is>
          <t>-</t>
        </is>
      </c>
      <c r="J91" t="inlineStr">
        <is>
          <t>No</t>
        </is>
      </c>
      <c r="K91" t="n">
        <v>0</v>
      </c>
      <c r="L91" t="n">
        <v>0</v>
      </c>
      <c r="M91" t="n">
        <v>5</v>
      </c>
    </row>
    <row r="92">
      <c r="A92" t="n">
        <v>3321</v>
      </c>
      <c r="B92" t="inlineStr">
        <is>
          <t>Daniela Moura</t>
        </is>
      </c>
      <c r="C92" t="inlineStr">
        <is>
          <t>Ultimate</t>
        </is>
      </c>
      <c r="D92" s="21" t="n">
        <v>45438</v>
      </c>
      <c r="E92" t="inlineStr">
        <is>
          <t>Yes</t>
        </is>
      </c>
      <c r="F92" t="n">
        <v>15</v>
      </c>
      <c r="G92" t="inlineStr">
        <is>
          <t>Monthly</t>
        </is>
      </c>
      <c r="H92" t="inlineStr">
        <is>
          <t>Yes</t>
        </is>
      </c>
      <c r="I92" t="n">
        <v>30</v>
      </c>
      <c r="J92" t="inlineStr">
        <is>
          <t>Yes</t>
        </is>
      </c>
      <c r="K92" t="n">
        <v>20</v>
      </c>
      <c r="L92" t="n">
        <v>5</v>
      </c>
      <c r="M92" t="n">
        <v>60</v>
      </c>
    </row>
    <row r="93">
      <c r="A93" t="n">
        <v>3322</v>
      </c>
      <c r="B93" t="inlineStr">
        <is>
          <t>Eduardo Lima</t>
        </is>
      </c>
      <c r="C93" t="inlineStr">
        <is>
          <t>Standard</t>
        </is>
      </c>
      <c r="D93" s="21" t="n">
        <v>45439</v>
      </c>
      <c r="E93" t="inlineStr">
        <is>
          <t>No</t>
        </is>
      </c>
      <c r="F93" t="n">
        <v>10</v>
      </c>
      <c r="G93" t="inlineStr">
        <is>
          <t>Annual</t>
        </is>
      </c>
      <c r="H93" t="inlineStr">
        <is>
          <t>No</t>
        </is>
      </c>
      <c r="I93" t="inlineStr">
        <is>
          <t>-</t>
        </is>
      </c>
      <c r="J93" t="inlineStr">
        <is>
          <t>Yes</t>
        </is>
      </c>
      <c r="K93" t="n">
        <v>20</v>
      </c>
      <c r="L93" t="n">
        <v>15</v>
      </c>
      <c r="M93" t="n">
        <v>15</v>
      </c>
    </row>
    <row r="94">
      <c r="A94" t="n">
        <v>3323</v>
      </c>
      <c r="B94" t="inlineStr">
        <is>
          <t>Fabiana Araújo</t>
        </is>
      </c>
      <c r="C94" t="inlineStr">
        <is>
          <t>Core</t>
        </is>
      </c>
      <c r="D94" s="21" t="n">
        <v>45440</v>
      </c>
      <c r="E94" t="inlineStr">
        <is>
          <t>Yes</t>
        </is>
      </c>
      <c r="F94" t="n">
        <v>5</v>
      </c>
      <c r="G94" t="inlineStr">
        <is>
          <t>Monthly</t>
        </is>
      </c>
      <c r="H94" t="inlineStr">
        <is>
          <t>No</t>
        </is>
      </c>
      <c r="I94" t="inlineStr">
        <is>
          <t>-</t>
        </is>
      </c>
      <c r="J94" t="inlineStr">
        <is>
          <t>No</t>
        </is>
      </c>
      <c r="K94" t="n">
        <v>0</v>
      </c>
      <c r="L94" t="n">
        <v>1</v>
      </c>
      <c r="M94" t="n">
        <v>4</v>
      </c>
    </row>
    <row r="95">
      <c r="A95" t="n">
        <v>3324</v>
      </c>
      <c r="B95" t="inlineStr">
        <is>
          <t>Geraldo Ribeiro</t>
        </is>
      </c>
      <c r="C95" t="inlineStr">
        <is>
          <t>Ultimate</t>
        </is>
      </c>
      <c r="D95" s="21" t="n">
        <v>45441</v>
      </c>
      <c r="E95" t="inlineStr">
        <is>
          <t>No</t>
        </is>
      </c>
      <c r="F95" t="n">
        <v>15</v>
      </c>
      <c r="G95" t="inlineStr">
        <is>
          <t>Quarterly</t>
        </is>
      </c>
      <c r="H95" t="inlineStr">
        <is>
          <t>Yes</t>
        </is>
      </c>
      <c r="I95" t="n">
        <v>30</v>
      </c>
      <c r="J95" t="inlineStr">
        <is>
          <t>Yes</t>
        </is>
      </c>
      <c r="K95" t="n">
        <v>20</v>
      </c>
      <c r="L95" t="n">
        <v>20</v>
      </c>
      <c r="M95" t="n">
        <v>45</v>
      </c>
    </row>
    <row r="96">
      <c r="A96" t="n">
        <v>3325</v>
      </c>
      <c r="B96" t="inlineStr">
        <is>
          <t>Héctor Vargas</t>
        </is>
      </c>
      <c r="C96" t="inlineStr">
        <is>
          <t>Standard</t>
        </is>
      </c>
      <c r="D96" s="21" t="n">
        <v>45442</v>
      </c>
      <c r="E96" t="inlineStr">
        <is>
          <t>Yes</t>
        </is>
      </c>
      <c r="F96" t="n">
        <v>10</v>
      </c>
      <c r="G96" t="inlineStr">
        <is>
          <t>Quarterly</t>
        </is>
      </c>
      <c r="H96" t="inlineStr">
        <is>
          <t>No</t>
        </is>
      </c>
      <c r="I96" t="inlineStr">
        <is>
          <t>-</t>
        </is>
      </c>
      <c r="J96" t="inlineStr">
        <is>
          <t>Yes</t>
        </is>
      </c>
      <c r="K96" t="n">
        <v>20</v>
      </c>
      <c r="L96" t="n">
        <v>15</v>
      </c>
      <c r="M96" t="n">
        <v>15</v>
      </c>
    </row>
    <row r="97">
      <c r="A97" t="n">
        <v>3326</v>
      </c>
      <c r="B97" t="inlineStr">
        <is>
          <t>Isabela Fonseca</t>
        </is>
      </c>
      <c r="C97" t="inlineStr">
        <is>
          <t>Core</t>
        </is>
      </c>
      <c r="D97" s="21" t="n">
        <v>45443</v>
      </c>
      <c r="E97" t="inlineStr">
        <is>
          <t>No</t>
        </is>
      </c>
      <c r="F97" t="n">
        <v>5</v>
      </c>
      <c r="G97" t="inlineStr">
        <is>
          <t>Annual</t>
        </is>
      </c>
      <c r="H97" t="inlineStr">
        <is>
          <t>No</t>
        </is>
      </c>
      <c r="I97" t="inlineStr">
        <is>
          <t>-</t>
        </is>
      </c>
      <c r="J97" t="inlineStr">
        <is>
          <t>No</t>
        </is>
      </c>
      <c r="K97" t="n">
        <v>0</v>
      </c>
      <c r="L97" t="n">
        <v>0</v>
      </c>
      <c r="M97" t="n">
        <v>5</v>
      </c>
    </row>
    <row r="98">
      <c r="A98" t="n">
        <v>3327</v>
      </c>
      <c r="B98" t="inlineStr">
        <is>
          <t>João Pedro Almeida</t>
        </is>
      </c>
      <c r="C98" t="inlineStr">
        <is>
          <t>Ultimate</t>
        </is>
      </c>
      <c r="D98" s="21" t="n">
        <v>45444</v>
      </c>
      <c r="E98" t="inlineStr">
        <is>
          <t>Yes</t>
        </is>
      </c>
      <c r="F98" t="n">
        <v>15</v>
      </c>
      <c r="G98" t="inlineStr">
        <is>
          <t>Monthly</t>
        </is>
      </c>
      <c r="H98" t="inlineStr">
        <is>
          <t>Yes</t>
        </is>
      </c>
      <c r="I98" t="n">
        <v>30</v>
      </c>
      <c r="J98" t="inlineStr">
        <is>
          <t>Yes</t>
        </is>
      </c>
      <c r="K98" t="n">
        <v>20</v>
      </c>
      <c r="L98" t="n">
        <v>7</v>
      </c>
      <c r="M98" t="n">
        <v>58</v>
      </c>
    </row>
    <row r="99">
      <c r="A99" t="n">
        <v>3328</v>
      </c>
      <c r="B99" t="inlineStr">
        <is>
          <t>Klara Costa</t>
        </is>
      </c>
      <c r="C99" t="inlineStr">
        <is>
          <t>Standard</t>
        </is>
      </c>
      <c r="D99" s="21" t="n">
        <v>45445</v>
      </c>
      <c r="E99" t="inlineStr">
        <is>
          <t>No</t>
        </is>
      </c>
      <c r="F99" t="n">
        <v>10</v>
      </c>
      <c r="G99" t="inlineStr">
        <is>
          <t>Annual</t>
        </is>
      </c>
      <c r="H99" t="inlineStr">
        <is>
          <t>No</t>
        </is>
      </c>
      <c r="I99" t="inlineStr">
        <is>
          <t>-</t>
        </is>
      </c>
      <c r="J99" t="inlineStr">
        <is>
          <t>Yes</t>
        </is>
      </c>
      <c r="K99" t="n">
        <v>20</v>
      </c>
      <c r="L99" t="n">
        <v>10</v>
      </c>
      <c r="M99" t="n">
        <v>20</v>
      </c>
    </row>
    <row r="100">
      <c r="A100" t="n">
        <v>3329</v>
      </c>
      <c r="B100" t="inlineStr">
        <is>
          <t>Luciana Mendes</t>
        </is>
      </c>
      <c r="C100" t="inlineStr">
        <is>
          <t>Core</t>
        </is>
      </c>
      <c r="D100" s="21" t="n">
        <v>45446</v>
      </c>
      <c r="E100" t="inlineStr">
        <is>
          <t>Yes</t>
        </is>
      </c>
      <c r="F100" t="n">
        <v>5</v>
      </c>
      <c r="G100" t="inlineStr">
        <is>
          <t>Quarterly</t>
        </is>
      </c>
      <c r="H100" t="inlineStr">
        <is>
          <t>No</t>
        </is>
      </c>
      <c r="I100" t="inlineStr">
        <is>
          <t>-</t>
        </is>
      </c>
      <c r="J100" t="inlineStr">
        <is>
          <t>No</t>
        </is>
      </c>
      <c r="K100" t="n">
        <v>0</v>
      </c>
      <c r="L100" t="n">
        <v>1</v>
      </c>
      <c r="M100" t="n">
        <v>4</v>
      </c>
    </row>
    <row r="101">
      <c r="A101" t="n">
        <v>3330</v>
      </c>
      <c r="B101" t="inlineStr">
        <is>
          <t>Marcelo Gouveia</t>
        </is>
      </c>
      <c r="C101" t="inlineStr">
        <is>
          <t>Ultimate</t>
        </is>
      </c>
      <c r="D101" s="21" t="n">
        <v>45447</v>
      </c>
      <c r="E101" t="inlineStr">
        <is>
          <t>No</t>
        </is>
      </c>
      <c r="F101" t="n">
        <v>15</v>
      </c>
      <c r="G101" t="inlineStr">
        <is>
          <t>Monthly</t>
        </is>
      </c>
      <c r="H101" t="inlineStr">
        <is>
          <t>Yes</t>
        </is>
      </c>
      <c r="I101" t="n">
        <v>30</v>
      </c>
      <c r="J101" t="inlineStr">
        <is>
          <t>Yes</t>
        </is>
      </c>
      <c r="K101" t="n">
        <v>20</v>
      </c>
      <c r="L101" t="n">
        <v>15</v>
      </c>
      <c r="M101" t="n">
        <v>50</v>
      </c>
    </row>
    <row r="102">
      <c r="A102" t="n">
        <v>3331</v>
      </c>
      <c r="B102" t="inlineStr">
        <is>
          <t>Nívea Borges</t>
        </is>
      </c>
      <c r="C102" t="inlineStr">
        <is>
          <t>Standard</t>
        </is>
      </c>
      <c r="D102" s="21" t="n">
        <v>45448</v>
      </c>
      <c r="E102" t="inlineStr">
        <is>
          <t>Yes</t>
        </is>
      </c>
      <c r="F102" t="n">
        <v>10</v>
      </c>
      <c r="G102" t="inlineStr">
        <is>
          <t>Monthly</t>
        </is>
      </c>
      <c r="H102" t="inlineStr">
        <is>
          <t>No</t>
        </is>
      </c>
      <c r="I102" t="inlineStr">
        <is>
          <t>-</t>
        </is>
      </c>
      <c r="J102" t="inlineStr">
        <is>
          <t>Yes</t>
        </is>
      </c>
      <c r="K102" t="n">
        <v>20</v>
      </c>
      <c r="L102" t="n">
        <v>5</v>
      </c>
      <c r="M102" t="n">
        <v>25</v>
      </c>
    </row>
    <row r="103">
      <c r="A103" t="n">
        <v>3332</v>
      </c>
      <c r="B103" t="inlineStr">
        <is>
          <t>Oscar Nogueira</t>
        </is>
      </c>
      <c r="C103" t="inlineStr">
        <is>
          <t>Core</t>
        </is>
      </c>
      <c r="D103" s="21" t="n">
        <v>45449</v>
      </c>
      <c r="E103" t="inlineStr">
        <is>
          <t>No</t>
        </is>
      </c>
      <c r="F103" t="n">
        <v>5</v>
      </c>
      <c r="G103" t="inlineStr">
        <is>
          <t>Annual</t>
        </is>
      </c>
      <c r="H103" t="inlineStr">
        <is>
          <t>No</t>
        </is>
      </c>
      <c r="I103" t="inlineStr">
        <is>
          <t>-</t>
        </is>
      </c>
      <c r="J103" t="inlineStr">
        <is>
          <t>No</t>
        </is>
      </c>
      <c r="K103" t="n">
        <v>0</v>
      </c>
      <c r="L103" t="n">
        <v>0</v>
      </c>
      <c r="M103" t="n">
        <v>5</v>
      </c>
    </row>
    <row r="104">
      <c r="A104" t="n">
        <v>3333</v>
      </c>
      <c r="B104" t="inlineStr">
        <is>
          <t>Patrícia Alves</t>
        </is>
      </c>
      <c r="C104" t="inlineStr">
        <is>
          <t>Ultimate</t>
        </is>
      </c>
      <c r="D104" s="21" t="n">
        <v>45450</v>
      </c>
      <c r="E104" t="inlineStr">
        <is>
          <t>Yes</t>
        </is>
      </c>
      <c r="F104" t="n">
        <v>15</v>
      </c>
      <c r="G104" t="inlineStr">
        <is>
          <t>Quarterly</t>
        </is>
      </c>
      <c r="H104" t="inlineStr">
        <is>
          <t>Yes</t>
        </is>
      </c>
      <c r="I104" t="n">
        <v>30</v>
      </c>
      <c r="J104" t="inlineStr">
        <is>
          <t>Yes</t>
        </is>
      </c>
      <c r="K104" t="n">
        <v>20</v>
      </c>
      <c r="L104" t="n">
        <v>20</v>
      </c>
      <c r="M104" t="n">
        <v>45</v>
      </c>
    </row>
    <row r="105">
      <c r="A105" t="n">
        <v>3334</v>
      </c>
      <c r="B105" t="inlineStr">
        <is>
          <t>Rafaela Silva</t>
        </is>
      </c>
      <c r="C105" t="inlineStr">
        <is>
          <t>Standard</t>
        </is>
      </c>
      <c r="D105" s="21" t="n">
        <v>45451</v>
      </c>
      <c r="E105" t="inlineStr">
        <is>
          <t>No</t>
        </is>
      </c>
      <c r="F105" t="n">
        <v>10</v>
      </c>
      <c r="G105" t="inlineStr">
        <is>
          <t>Quarterly</t>
        </is>
      </c>
      <c r="H105" t="inlineStr">
        <is>
          <t>No</t>
        </is>
      </c>
      <c r="I105" t="inlineStr">
        <is>
          <t>-</t>
        </is>
      </c>
      <c r="J105" t="inlineStr">
        <is>
          <t>Yes</t>
        </is>
      </c>
      <c r="K105" t="n">
        <v>20</v>
      </c>
      <c r="L105" t="n">
        <v>12</v>
      </c>
      <c r="M105" t="n">
        <v>18</v>
      </c>
    </row>
    <row r="106">
      <c r="A106" t="n">
        <v>3335</v>
      </c>
      <c r="B106" t="inlineStr">
        <is>
          <t>Samantha Moraes</t>
        </is>
      </c>
      <c r="C106" t="inlineStr">
        <is>
          <t>Core</t>
        </is>
      </c>
      <c r="D106" s="21" t="n">
        <v>45452</v>
      </c>
      <c r="E106" t="inlineStr">
        <is>
          <t>Yes</t>
        </is>
      </c>
      <c r="F106" t="n">
        <v>5</v>
      </c>
      <c r="G106" t="inlineStr">
        <is>
          <t>Monthly</t>
        </is>
      </c>
      <c r="H106" t="inlineStr">
        <is>
          <t>No</t>
        </is>
      </c>
      <c r="I106" t="inlineStr">
        <is>
          <t>-</t>
        </is>
      </c>
      <c r="J106" t="inlineStr">
        <is>
          <t>No</t>
        </is>
      </c>
      <c r="K106" t="n">
        <v>0</v>
      </c>
      <c r="L106" t="n">
        <v>2</v>
      </c>
      <c r="M106" t="n">
        <v>3</v>
      </c>
    </row>
    <row r="107">
      <c r="A107" t="n">
        <v>3336</v>
      </c>
      <c r="B107" t="inlineStr">
        <is>
          <t>Tatiana Rocha</t>
        </is>
      </c>
      <c r="C107" t="inlineStr">
        <is>
          <t>Core</t>
        </is>
      </c>
      <c r="D107" s="21" t="n">
        <v>45453</v>
      </c>
      <c r="E107" t="inlineStr">
        <is>
          <t>Yes</t>
        </is>
      </c>
      <c r="F107" t="n">
        <v>5</v>
      </c>
      <c r="G107" t="inlineStr">
        <is>
          <t>Monthly</t>
        </is>
      </c>
      <c r="H107" t="inlineStr">
        <is>
          <t>No</t>
        </is>
      </c>
      <c r="I107" t="inlineStr">
        <is>
          <t>-</t>
        </is>
      </c>
      <c r="J107" t="inlineStr">
        <is>
          <t>No</t>
        </is>
      </c>
      <c r="K107" t="n">
        <v>0</v>
      </c>
      <c r="L107" t="n">
        <v>0</v>
      </c>
      <c r="M107" t="n">
        <v>5</v>
      </c>
    </row>
    <row r="108">
      <c r="A108" t="n">
        <v>3337</v>
      </c>
      <c r="B108" t="inlineStr">
        <is>
          <t>Ulisses Tavares</t>
        </is>
      </c>
      <c r="C108" t="inlineStr">
        <is>
          <t>Ultimate</t>
        </is>
      </c>
      <c r="D108" s="21" t="n">
        <v>45454</v>
      </c>
      <c r="E108" t="inlineStr">
        <is>
          <t>No</t>
        </is>
      </c>
      <c r="F108" t="n">
        <v>15</v>
      </c>
      <c r="G108" t="inlineStr">
        <is>
          <t>Quarterly</t>
        </is>
      </c>
      <c r="H108" t="inlineStr">
        <is>
          <t>Yes</t>
        </is>
      </c>
      <c r="I108" t="n">
        <v>30</v>
      </c>
      <c r="J108" t="inlineStr">
        <is>
          <t>Yes</t>
        </is>
      </c>
      <c r="K108" t="n">
        <v>20</v>
      </c>
      <c r="L108" t="n">
        <v>7</v>
      </c>
      <c r="M108" t="n">
        <v>58</v>
      </c>
    </row>
    <row r="109">
      <c r="A109" t="n">
        <v>3338</v>
      </c>
      <c r="B109" t="inlineStr">
        <is>
          <t>Víctor Lemos</t>
        </is>
      </c>
      <c r="C109" t="inlineStr">
        <is>
          <t>Standard</t>
        </is>
      </c>
      <c r="D109" s="21" t="n">
        <v>45455</v>
      </c>
      <c r="E109" t="inlineStr">
        <is>
          <t>Yes</t>
        </is>
      </c>
      <c r="F109" t="n">
        <v>10</v>
      </c>
      <c r="G109" t="inlineStr">
        <is>
          <t>Annual</t>
        </is>
      </c>
      <c r="H109" t="inlineStr">
        <is>
          <t>No</t>
        </is>
      </c>
      <c r="I109" t="inlineStr">
        <is>
          <t>-</t>
        </is>
      </c>
      <c r="J109" t="inlineStr">
        <is>
          <t>Yes</t>
        </is>
      </c>
      <c r="K109" t="n">
        <v>20</v>
      </c>
      <c r="L109" t="n">
        <v>10</v>
      </c>
      <c r="M109" t="n">
        <v>20</v>
      </c>
    </row>
    <row r="110">
      <c r="A110" t="n">
        <v>3339</v>
      </c>
      <c r="B110" t="inlineStr">
        <is>
          <t>Wilma Barros</t>
        </is>
      </c>
      <c r="C110" t="inlineStr">
        <is>
          <t>Core</t>
        </is>
      </c>
      <c r="D110" s="21" t="n">
        <v>45456</v>
      </c>
      <c r="E110" t="inlineStr">
        <is>
          <t>No</t>
        </is>
      </c>
      <c r="F110" t="n">
        <v>5</v>
      </c>
      <c r="G110" t="inlineStr">
        <is>
          <t>Quarterly</t>
        </is>
      </c>
      <c r="H110" t="inlineStr">
        <is>
          <t>No</t>
        </is>
      </c>
      <c r="I110" t="inlineStr">
        <is>
          <t>-</t>
        </is>
      </c>
      <c r="J110" t="inlineStr">
        <is>
          <t>No</t>
        </is>
      </c>
      <c r="K110" t="n">
        <v>0</v>
      </c>
      <c r="L110" t="n">
        <v>1</v>
      </c>
      <c r="M110" t="n">
        <v>4</v>
      </c>
    </row>
    <row r="111">
      <c r="A111" t="n">
        <v>3340</v>
      </c>
      <c r="B111" t="inlineStr">
        <is>
          <t>Xavier Nascimento</t>
        </is>
      </c>
      <c r="C111" t="inlineStr">
        <is>
          <t>Ultimate</t>
        </is>
      </c>
      <c r="D111" s="21" t="n">
        <v>45457</v>
      </c>
      <c r="E111" t="inlineStr">
        <is>
          <t>Yes</t>
        </is>
      </c>
      <c r="F111" t="n">
        <v>15</v>
      </c>
      <c r="G111" t="inlineStr">
        <is>
          <t>Monthly</t>
        </is>
      </c>
      <c r="H111" t="inlineStr">
        <is>
          <t>Yes</t>
        </is>
      </c>
      <c r="I111" t="n">
        <v>30</v>
      </c>
      <c r="J111" t="inlineStr">
        <is>
          <t>Yes</t>
        </is>
      </c>
      <c r="K111" t="n">
        <v>20</v>
      </c>
      <c r="L111" t="n">
        <v>15</v>
      </c>
      <c r="M111" t="n">
        <v>50</v>
      </c>
    </row>
    <row r="112">
      <c r="A112" t="n">
        <v>3341</v>
      </c>
      <c r="B112" t="inlineStr">
        <is>
          <t>Yago Pereira</t>
        </is>
      </c>
      <c r="C112" t="inlineStr">
        <is>
          <t>Standard</t>
        </is>
      </c>
      <c r="D112" s="21" t="n">
        <v>45458</v>
      </c>
      <c r="E112" t="inlineStr">
        <is>
          <t>No</t>
        </is>
      </c>
      <c r="F112" t="n">
        <v>10</v>
      </c>
      <c r="G112" t="inlineStr">
        <is>
          <t>Monthly</t>
        </is>
      </c>
      <c r="H112" t="inlineStr">
        <is>
          <t>No</t>
        </is>
      </c>
      <c r="I112" t="inlineStr">
        <is>
          <t>-</t>
        </is>
      </c>
      <c r="J112" t="inlineStr">
        <is>
          <t>Yes</t>
        </is>
      </c>
      <c r="K112" t="n">
        <v>20</v>
      </c>
      <c r="L112" t="n">
        <v>5</v>
      </c>
      <c r="M112" t="n">
        <v>25</v>
      </c>
    </row>
    <row r="113">
      <c r="A113" t="n">
        <v>3342</v>
      </c>
      <c r="B113" t="inlineStr">
        <is>
          <t>Zilda Ferreira</t>
        </is>
      </c>
      <c r="C113" t="inlineStr">
        <is>
          <t>Core</t>
        </is>
      </c>
      <c r="D113" s="21" t="n">
        <v>45459</v>
      </c>
      <c r="E113" t="inlineStr">
        <is>
          <t>Yes</t>
        </is>
      </c>
      <c r="F113" t="n">
        <v>5</v>
      </c>
      <c r="G113" t="inlineStr">
        <is>
          <t>Annual</t>
        </is>
      </c>
      <c r="H113" t="inlineStr">
        <is>
          <t>No</t>
        </is>
      </c>
      <c r="I113" t="inlineStr">
        <is>
          <t>-</t>
        </is>
      </c>
      <c r="J113" t="inlineStr">
        <is>
          <t>No</t>
        </is>
      </c>
      <c r="K113" t="n">
        <v>0</v>
      </c>
      <c r="L113" t="n">
        <v>0</v>
      </c>
      <c r="M113" t="n">
        <v>5</v>
      </c>
    </row>
    <row r="114">
      <c r="A114" t="n">
        <v>3343</v>
      </c>
      <c r="B114" t="inlineStr">
        <is>
          <t>Amanda Lopes</t>
        </is>
      </c>
      <c r="C114" t="inlineStr">
        <is>
          <t>Ultimate</t>
        </is>
      </c>
      <c r="D114" s="21" t="n">
        <v>45460</v>
      </c>
      <c r="E114" t="inlineStr">
        <is>
          <t>No</t>
        </is>
      </c>
      <c r="F114" t="n">
        <v>15</v>
      </c>
      <c r="G114" t="inlineStr">
        <is>
          <t>Quarterly</t>
        </is>
      </c>
      <c r="H114" t="inlineStr">
        <is>
          <t>Yes</t>
        </is>
      </c>
      <c r="I114" t="n">
        <v>30</v>
      </c>
      <c r="J114" t="inlineStr">
        <is>
          <t>Yes</t>
        </is>
      </c>
      <c r="K114" t="n">
        <v>20</v>
      </c>
      <c r="L114" t="n">
        <v>20</v>
      </c>
      <c r="M114" t="n">
        <v>45</v>
      </c>
    </row>
    <row r="115">
      <c r="A115" t="n">
        <v>3344</v>
      </c>
      <c r="B115" t="inlineStr">
        <is>
          <t>Bruno Miranda</t>
        </is>
      </c>
      <c r="C115" t="inlineStr">
        <is>
          <t>Standard</t>
        </is>
      </c>
      <c r="D115" s="21" t="n">
        <v>45461</v>
      </c>
      <c r="E115" t="inlineStr">
        <is>
          <t>Yes</t>
        </is>
      </c>
      <c r="F115" t="n">
        <v>10</v>
      </c>
      <c r="G115" t="inlineStr">
        <is>
          <t>Quarterly</t>
        </is>
      </c>
      <c r="H115" t="inlineStr">
        <is>
          <t>No</t>
        </is>
      </c>
      <c r="I115" t="inlineStr">
        <is>
          <t>-</t>
        </is>
      </c>
      <c r="J115" t="inlineStr">
        <is>
          <t>Yes</t>
        </is>
      </c>
      <c r="K115" t="n">
        <v>20</v>
      </c>
      <c r="L115" t="n">
        <v>12</v>
      </c>
      <c r="M115" t="n">
        <v>18</v>
      </c>
    </row>
    <row r="116">
      <c r="A116" t="n">
        <v>3345</v>
      </c>
      <c r="B116" t="inlineStr">
        <is>
          <t>Célia Torres</t>
        </is>
      </c>
      <c r="C116" t="inlineStr">
        <is>
          <t>Core</t>
        </is>
      </c>
      <c r="D116" s="21" t="n">
        <v>45462</v>
      </c>
      <c r="E116" t="inlineStr">
        <is>
          <t>No</t>
        </is>
      </c>
      <c r="F116" t="n">
        <v>5</v>
      </c>
      <c r="G116" t="inlineStr">
        <is>
          <t>Monthly</t>
        </is>
      </c>
      <c r="H116" t="inlineStr">
        <is>
          <t>No</t>
        </is>
      </c>
      <c r="I116" t="inlineStr">
        <is>
          <t>-</t>
        </is>
      </c>
      <c r="J116" t="inlineStr">
        <is>
          <t>No</t>
        </is>
      </c>
      <c r="K116" t="n">
        <v>0</v>
      </c>
      <c r="L116" t="n">
        <v>2</v>
      </c>
      <c r="M116" t="n">
        <v>3</v>
      </c>
    </row>
    <row r="117">
      <c r="A117" t="n">
        <v>3346</v>
      </c>
      <c r="B117" t="inlineStr">
        <is>
          <t>Diogo Souza</t>
        </is>
      </c>
      <c r="C117" t="inlineStr">
        <is>
          <t>Ultimate</t>
        </is>
      </c>
      <c r="D117" s="21" t="n">
        <v>45463</v>
      </c>
      <c r="E117" t="inlineStr">
        <is>
          <t>Yes</t>
        </is>
      </c>
      <c r="F117" t="n">
        <v>15</v>
      </c>
      <c r="G117" t="inlineStr">
        <is>
          <t>Annual</t>
        </is>
      </c>
      <c r="H117" t="inlineStr">
        <is>
          <t>Yes</t>
        </is>
      </c>
      <c r="I117" t="n">
        <v>30</v>
      </c>
      <c r="J117" t="inlineStr">
        <is>
          <t>Yes</t>
        </is>
      </c>
      <c r="K117" t="n">
        <v>20</v>
      </c>
      <c r="L117" t="n">
        <v>5</v>
      </c>
      <c r="M117" t="n">
        <v>60</v>
      </c>
    </row>
    <row r="118">
      <c r="A118" t="n">
        <v>3347</v>
      </c>
      <c r="B118" t="inlineStr">
        <is>
          <t>Elisa Castro</t>
        </is>
      </c>
      <c r="C118" t="inlineStr">
        <is>
          <t>Standard</t>
        </is>
      </c>
      <c r="D118" s="21" t="n">
        <v>45464</v>
      </c>
      <c r="E118" t="inlineStr">
        <is>
          <t>No</t>
        </is>
      </c>
      <c r="F118" t="n">
        <v>10</v>
      </c>
      <c r="G118" t="inlineStr">
        <is>
          <t>Monthly</t>
        </is>
      </c>
      <c r="H118" t="inlineStr">
        <is>
          <t>No</t>
        </is>
      </c>
      <c r="I118" t="inlineStr">
        <is>
          <t>-</t>
        </is>
      </c>
      <c r="J118" t="inlineStr">
        <is>
          <t>Yes</t>
        </is>
      </c>
      <c r="K118" t="n">
        <v>20</v>
      </c>
      <c r="L118" t="n">
        <v>10</v>
      </c>
      <c r="M118" t="n">
        <v>20</v>
      </c>
    </row>
    <row r="119">
      <c r="A119" t="n">
        <v>3348</v>
      </c>
      <c r="B119" t="inlineStr">
        <is>
          <t>Fátima Lima</t>
        </is>
      </c>
      <c r="C119" t="inlineStr">
        <is>
          <t>Core</t>
        </is>
      </c>
      <c r="D119" s="21" t="n">
        <v>45465</v>
      </c>
      <c r="E119" t="inlineStr">
        <is>
          <t>Yes</t>
        </is>
      </c>
      <c r="F119" t="n">
        <v>5</v>
      </c>
      <c r="G119" t="inlineStr">
        <is>
          <t>Quarterly</t>
        </is>
      </c>
      <c r="H119" t="inlineStr">
        <is>
          <t>No</t>
        </is>
      </c>
      <c r="I119" t="inlineStr">
        <is>
          <t>-</t>
        </is>
      </c>
      <c r="J119" t="inlineStr">
        <is>
          <t>No</t>
        </is>
      </c>
      <c r="K119" t="n">
        <v>0</v>
      </c>
      <c r="L119" t="n">
        <v>0</v>
      </c>
      <c r="M119" t="n">
        <v>5</v>
      </c>
    </row>
    <row r="120">
      <c r="A120" t="n">
        <v>3349</v>
      </c>
      <c r="B120" t="inlineStr">
        <is>
          <t>Geraldo Ribeiro</t>
        </is>
      </c>
      <c r="C120" t="inlineStr">
        <is>
          <t>Ultimate</t>
        </is>
      </c>
      <c r="D120" s="21" t="n">
        <v>45466</v>
      </c>
      <c r="E120" t="inlineStr">
        <is>
          <t>No</t>
        </is>
      </c>
      <c r="F120" t="n">
        <v>15</v>
      </c>
      <c r="G120" t="inlineStr">
        <is>
          <t>Monthly</t>
        </is>
      </c>
      <c r="H120" t="inlineStr">
        <is>
          <t>Yes</t>
        </is>
      </c>
      <c r="I120" t="n">
        <v>30</v>
      </c>
      <c r="J120" t="inlineStr">
        <is>
          <t>Yes</t>
        </is>
      </c>
      <c r="K120" t="n">
        <v>20</v>
      </c>
      <c r="L120" t="n">
        <v>3</v>
      </c>
      <c r="M120" t="n">
        <v>62</v>
      </c>
    </row>
    <row r="121">
      <c r="A121" t="n">
        <v>3350</v>
      </c>
      <c r="B121" t="inlineStr">
        <is>
          <t>Hélio Martins</t>
        </is>
      </c>
      <c r="C121" t="inlineStr">
        <is>
          <t>Standard</t>
        </is>
      </c>
      <c r="D121" s="21" t="n">
        <v>45467</v>
      </c>
      <c r="E121" t="inlineStr">
        <is>
          <t>Yes</t>
        </is>
      </c>
      <c r="F121" t="n">
        <v>10</v>
      </c>
      <c r="G121" t="inlineStr">
        <is>
          <t>Annual</t>
        </is>
      </c>
      <c r="H121" t="inlineStr">
        <is>
          <t>No</t>
        </is>
      </c>
      <c r="I121" t="inlineStr">
        <is>
          <t>-</t>
        </is>
      </c>
      <c r="J121" t="inlineStr">
        <is>
          <t>Yes</t>
        </is>
      </c>
      <c r="K121" t="n">
        <v>20</v>
      </c>
      <c r="L121" t="n">
        <v>15</v>
      </c>
      <c r="M121" t="n">
        <v>15</v>
      </c>
    </row>
    <row r="122">
      <c r="A122" t="n">
        <v>3351</v>
      </c>
      <c r="B122" t="inlineStr">
        <is>
          <t>Íris Santos</t>
        </is>
      </c>
      <c r="C122" t="inlineStr">
        <is>
          <t>Core</t>
        </is>
      </c>
      <c r="D122" s="21" t="n">
        <v>45468</v>
      </c>
      <c r="E122" t="inlineStr">
        <is>
          <t>No</t>
        </is>
      </c>
      <c r="F122" t="n">
        <v>5</v>
      </c>
      <c r="G122" t="inlineStr">
        <is>
          <t>Monthly</t>
        </is>
      </c>
      <c r="H122" t="inlineStr">
        <is>
          <t>No</t>
        </is>
      </c>
      <c r="I122" t="inlineStr">
        <is>
          <t>-</t>
        </is>
      </c>
      <c r="J122" t="inlineStr">
        <is>
          <t>No</t>
        </is>
      </c>
      <c r="K122" t="n">
        <v>0</v>
      </c>
      <c r="L122" t="n">
        <v>1</v>
      </c>
      <c r="M122" t="n">
        <v>4</v>
      </c>
    </row>
    <row r="123">
      <c r="A123" t="n">
        <v>3352</v>
      </c>
      <c r="B123" t="inlineStr">
        <is>
          <t>João Marcelo</t>
        </is>
      </c>
      <c r="C123" t="inlineStr">
        <is>
          <t>Ultimate</t>
        </is>
      </c>
      <c r="D123" s="21" t="n">
        <v>45469</v>
      </c>
      <c r="E123" t="inlineStr">
        <is>
          <t>Yes</t>
        </is>
      </c>
      <c r="F123" t="n">
        <v>15</v>
      </c>
      <c r="G123" t="inlineStr">
        <is>
          <t>Quarterly</t>
        </is>
      </c>
      <c r="H123" t="inlineStr">
        <is>
          <t>Yes</t>
        </is>
      </c>
      <c r="I123" t="n">
        <v>30</v>
      </c>
      <c r="J123" t="inlineStr">
        <is>
          <t>Yes</t>
        </is>
      </c>
      <c r="K123" t="n">
        <v>20</v>
      </c>
      <c r="L123" t="n">
        <v>7</v>
      </c>
      <c r="M123" t="n">
        <v>58</v>
      </c>
    </row>
    <row r="124">
      <c r="A124" t="n">
        <v>3353</v>
      </c>
      <c r="B124" t="inlineStr">
        <is>
          <t>Larissa Gomes</t>
        </is>
      </c>
      <c r="C124" t="inlineStr">
        <is>
          <t>Standard</t>
        </is>
      </c>
      <c r="D124" s="21" t="n">
        <v>45470</v>
      </c>
      <c r="E124" t="inlineStr">
        <is>
          <t>No</t>
        </is>
      </c>
      <c r="F124" t="n">
        <v>10</v>
      </c>
      <c r="G124" t="inlineStr">
        <is>
          <t>Monthly</t>
        </is>
      </c>
      <c r="H124" t="inlineStr">
        <is>
          <t>No</t>
        </is>
      </c>
      <c r="I124" t="inlineStr">
        <is>
          <t>-</t>
        </is>
      </c>
      <c r="J124" t="inlineStr">
        <is>
          <t>Yes</t>
        </is>
      </c>
      <c r="K124" t="n">
        <v>20</v>
      </c>
      <c r="L124" t="n">
        <v>10</v>
      </c>
      <c r="M124" t="n">
        <v>20</v>
      </c>
    </row>
    <row r="125">
      <c r="A125" t="n">
        <v>3354</v>
      </c>
      <c r="B125" t="inlineStr">
        <is>
          <t>Márcio Silva</t>
        </is>
      </c>
      <c r="C125" t="inlineStr">
        <is>
          <t>Core</t>
        </is>
      </c>
      <c r="D125" s="21" t="n">
        <v>45471</v>
      </c>
      <c r="E125" t="inlineStr">
        <is>
          <t>Yes</t>
        </is>
      </c>
      <c r="F125" t="n">
        <v>5</v>
      </c>
      <c r="G125" t="inlineStr">
        <is>
          <t>Annual</t>
        </is>
      </c>
      <c r="H125" t="inlineStr">
        <is>
          <t>No</t>
        </is>
      </c>
      <c r="I125" t="inlineStr">
        <is>
          <t>-</t>
        </is>
      </c>
      <c r="J125" t="inlineStr">
        <is>
          <t>No</t>
        </is>
      </c>
      <c r="K125" t="n">
        <v>0</v>
      </c>
      <c r="L125" t="n">
        <v>0</v>
      </c>
      <c r="M125" t="n">
        <v>5</v>
      </c>
    </row>
    <row r="126">
      <c r="A126" t="n">
        <v>3355</v>
      </c>
      <c r="B126" t="inlineStr">
        <is>
          <t>Nadia Costa</t>
        </is>
      </c>
      <c r="C126" t="inlineStr">
        <is>
          <t>Ultimate</t>
        </is>
      </c>
      <c r="D126" s="21" t="n">
        <v>45472</v>
      </c>
      <c r="E126" t="inlineStr">
        <is>
          <t>No</t>
        </is>
      </c>
      <c r="F126" t="n">
        <v>15</v>
      </c>
      <c r="G126" t="inlineStr">
        <is>
          <t>Monthly</t>
        </is>
      </c>
      <c r="H126" t="inlineStr">
        <is>
          <t>Yes</t>
        </is>
      </c>
      <c r="I126" t="n">
        <v>30</v>
      </c>
      <c r="J126" t="inlineStr">
        <is>
          <t>Yes</t>
        </is>
      </c>
      <c r="K126" t="n">
        <v>20</v>
      </c>
      <c r="L126" t="n">
        <v>20</v>
      </c>
      <c r="M126" t="n">
        <v>45</v>
      </c>
    </row>
    <row r="127">
      <c r="A127" t="n">
        <v>3356</v>
      </c>
      <c r="B127" t="inlineStr">
        <is>
          <t>Oscar Almeida</t>
        </is>
      </c>
      <c r="C127" t="inlineStr">
        <is>
          <t>Standard</t>
        </is>
      </c>
      <c r="D127" s="21" t="n">
        <v>45473</v>
      </c>
      <c r="E127" t="inlineStr">
        <is>
          <t>Yes</t>
        </is>
      </c>
      <c r="F127" t="n">
        <v>10</v>
      </c>
      <c r="G127" t="inlineStr">
        <is>
          <t>Quarterly</t>
        </is>
      </c>
      <c r="H127" t="inlineStr">
        <is>
          <t>No</t>
        </is>
      </c>
      <c r="I127" t="inlineStr">
        <is>
          <t>-</t>
        </is>
      </c>
      <c r="J127" t="inlineStr">
        <is>
          <t>Yes</t>
        </is>
      </c>
      <c r="K127" t="n">
        <v>20</v>
      </c>
      <c r="L127" t="n">
        <v>15</v>
      </c>
      <c r="M127" t="n">
        <v>15</v>
      </c>
    </row>
    <row r="128">
      <c r="A128" t="n">
        <v>3357</v>
      </c>
      <c r="B128" t="inlineStr">
        <is>
          <t>Patricia Soares</t>
        </is>
      </c>
      <c r="C128" t="inlineStr">
        <is>
          <t>Core</t>
        </is>
      </c>
      <c r="D128" s="21" t="n">
        <v>45474</v>
      </c>
      <c r="E128" t="inlineStr">
        <is>
          <t>No</t>
        </is>
      </c>
      <c r="F128" t="n">
        <v>5</v>
      </c>
      <c r="G128" t="inlineStr">
        <is>
          <t>Monthly</t>
        </is>
      </c>
      <c r="H128" t="inlineStr">
        <is>
          <t>No</t>
        </is>
      </c>
      <c r="I128" t="inlineStr">
        <is>
          <t>-</t>
        </is>
      </c>
      <c r="J128" t="inlineStr">
        <is>
          <t>No</t>
        </is>
      </c>
      <c r="K128" t="n">
        <v>0</v>
      </c>
      <c r="L128" t="n">
        <v>1</v>
      </c>
      <c r="M128" t="n">
        <v>4</v>
      </c>
    </row>
    <row r="129">
      <c r="A129" t="n">
        <v>3358</v>
      </c>
      <c r="B129" t="inlineStr">
        <is>
          <t>Quênia Barros</t>
        </is>
      </c>
      <c r="C129" t="inlineStr">
        <is>
          <t>Ultimate</t>
        </is>
      </c>
      <c r="D129" s="21" t="n">
        <v>45475</v>
      </c>
      <c r="E129" t="inlineStr">
        <is>
          <t>Yes</t>
        </is>
      </c>
      <c r="F129" t="n">
        <v>15</v>
      </c>
      <c r="G129" t="inlineStr">
        <is>
          <t>Annual</t>
        </is>
      </c>
      <c r="H129" t="inlineStr">
        <is>
          <t>Yes</t>
        </is>
      </c>
      <c r="I129" t="n">
        <v>30</v>
      </c>
      <c r="J129" t="inlineStr">
        <is>
          <t>Yes</t>
        </is>
      </c>
      <c r="K129" t="n">
        <v>20</v>
      </c>
      <c r="L129" t="n">
        <v>3</v>
      </c>
      <c r="M129" t="n">
        <v>62</v>
      </c>
    </row>
    <row r="130">
      <c r="A130" t="n">
        <v>3359</v>
      </c>
      <c r="B130" t="inlineStr">
        <is>
          <t>Rafael Torres</t>
        </is>
      </c>
      <c r="C130" t="inlineStr">
        <is>
          <t>Standard</t>
        </is>
      </c>
      <c r="D130" s="21" t="n">
        <v>45476</v>
      </c>
      <c r="E130" t="inlineStr">
        <is>
          <t>No</t>
        </is>
      </c>
      <c r="F130" t="n">
        <v>10</v>
      </c>
      <c r="G130" t="inlineStr">
        <is>
          <t>Monthly</t>
        </is>
      </c>
      <c r="H130" t="inlineStr">
        <is>
          <t>No</t>
        </is>
      </c>
      <c r="I130" t="inlineStr">
        <is>
          <t>-</t>
        </is>
      </c>
      <c r="J130" t="inlineStr">
        <is>
          <t>Yes</t>
        </is>
      </c>
      <c r="K130" t="n">
        <v>20</v>
      </c>
      <c r="L130" t="n">
        <v>10</v>
      </c>
      <c r="M130" t="n">
        <v>20</v>
      </c>
    </row>
    <row r="131">
      <c r="A131" t="n">
        <v>3360</v>
      </c>
      <c r="B131" t="inlineStr">
        <is>
          <t>Silvia Nascimento</t>
        </is>
      </c>
      <c r="C131" t="inlineStr">
        <is>
          <t>Core</t>
        </is>
      </c>
      <c r="D131" s="21" t="n">
        <v>45477</v>
      </c>
      <c r="E131" t="inlineStr">
        <is>
          <t>Yes</t>
        </is>
      </c>
      <c r="F131" t="n">
        <v>5</v>
      </c>
      <c r="G131" t="inlineStr">
        <is>
          <t>Quarterly</t>
        </is>
      </c>
      <c r="H131" t="inlineStr">
        <is>
          <t>No</t>
        </is>
      </c>
      <c r="I131" t="inlineStr">
        <is>
          <t>-</t>
        </is>
      </c>
      <c r="J131" t="inlineStr">
        <is>
          <t>No</t>
        </is>
      </c>
      <c r="K131" t="n">
        <v>0</v>
      </c>
      <c r="L131" t="n">
        <v>0</v>
      </c>
      <c r="M131" t="n">
        <v>5</v>
      </c>
    </row>
    <row r="132">
      <c r="A132" t="n">
        <v>3361</v>
      </c>
      <c r="B132" t="inlineStr">
        <is>
          <t>Tiago Mendes</t>
        </is>
      </c>
      <c r="C132" t="inlineStr">
        <is>
          <t>Ultimate</t>
        </is>
      </c>
      <c r="D132" s="21" t="n">
        <v>45478</v>
      </c>
      <c r="E132" t="inlineStr">
        <is>
          <t>No</t>
        </is>
      </c>
      <c r="F132" t="n">
        <v>15</v>
      </c>
      <c r="G132" t="inlineStr">
        <is>
          <t>Monthly</t>
        </is>
      </c>
      <c r="H132" t="inlineStr">
        <is>
          <t>Yes</t>
        </is>
      </c>
      <c r="I132" t="n">
        <v>30</v>
      </c>
      <c r="J132" t="inlineStr">
        <is>
          <t>Yes</t>
        </is>
      </c>
      <c r="K132" t="n">
        <v>20</v>
      </c>
      <c r="L132" t="n">
        <v>15</v>
      </c>
      <c r="M132" t="n">
        <v>50</v>
      </c>
    </row>
    <row r="133">
      <c r="A133" t="n">
        <v>3362</v>
      </c>
      <c r="B133" t="inlineStr">
        <is>
          <t>Ursula Silva</t>
        </is>
      </c>
      <c r="C133" t="inlineStr">
        <is>
          <t>Standard</t>
        </is>
      </c>
      <c r="D133" s="21" t="n">
        <v>45479</v>
      </c>
      <c r="E133" t="inlineStr">
        <is>
          <t>Yes</t>
        </is>
      </c>
      <c r="F133" t="n">
        <v>10</v>
      </c>
      <c r="G133" t="inlineStr">
        <is>
          <t>Annual</t>
        </is>
      </c>
      <c r="H133" t="inlineStr">
        <is>
          <t>No</t>
        </is>
      </c>
      <c r="I133" t="inlineStr">
        <is>
          <t>-</t>
        </is>
      </c>
      <c r="J133" t="inlineStr">
        <is>
          <t>Yes</t>
        </is>
      </c>
      <c r="K133" t="n">
        <v>20</v>
      </c>
      <c r="L133" t="n">
        <v>15</v>
      </c>
      <c r="M133" t="n">
        <v>15</v>
      </c>
    </row>
    <row r="134">
      <c r="A134" t="n">
        <v>3363</v>
      </c>
      <c r="B134" t="inlineStr">
        <is>
          <t>Vanessa Moraes</t>
        </is>
      </c>
      <c r="C134" t="inlineStr">
        <is>
          <t>Core</t>
        </is>
      </c>
      <c r="D134" s="21" t="n">
        <v>45480</v>
      </c>
      <c r="E134" t="inlineStr">
        <is>
          <t>No</t>
        </is>
      </c>
      <c r="F134" t="n">
        <v>5</v>
      </c>
      <c r="G134" t="inlineStr">
        <is>
          <t>Monthly</t>
        </is>
      </c>
      <c r="H134" t="inlineStr">
        <is>
          <t>No</t>
        </is>
      </c>
      <c r="I134" t="inlineStr">
        <is>
          <t>-</t>
        </is>
      </c>
      <c r="J134" t="inlineStr">
        <is>
          <t>No</t>
        </is>
      </c>
      <c r="K134" t="n">
        <v>0</v>
      </c>
      <c r="L134" t="n">
        <v>1</v>
      </c>
      <c r="M134" t="n">
        <v>4</v>
      </c>
    </row>
    <row r="135">
      <c r="A135" t="n">
        <v>3364</v>
      </c>
      <c r="B135" t="inlineStr">
        <is>
          <t>Waldir Junior</t>
        </is>
      </c>
      <c r="C135" t="inlineStr">
        <is>
          <t>Ultimate</t>
        </is>
      </c>
      <c r="D135" s="21" t="n">
        <v>45481</v>
      </c>
      <c r="E135" t="inlineStr">
        <is>
          <t>Yes</t>
        </is>
      </c>
      <c r="F135" t="n">
        <v>15</v>
      </c>
      <c r="G135" t="inlineStr">
        <is>
          <t>Quarterly</t>
        </is>
      </c>
      <c r="H135" t="inlineStr">
        <is>
          <t>Yes</t>
        </is>
      </c>
      <c r="I135" t="n">
        <v>30</v>
      </c>
      <c r="J135" t="inlineStr">
        <is>
          <t>Yes</t>
        </is>
      </c>
      <c r="K135" t="n">
        <v>20</v>
      </c>
      <c r="L135" t="n">
        <v>7</v>
      </c>
      <c r="M135" t="n">
        <v>58</v>
      </c>
    </row>
    <row r="136">
      <c r="A136" t="n">
        <v>3365</v>
      </c>
      <c r="B136" t="inlineStr">
        <is>
          <t>Xavier Lopes</t>
        </is>
      </c>
      <c r="C136" t="inlineStr">
        <is>
          <t>Standard</t>
        </is>
      </c>
      <c r="D136" s="21" t="n">
        <v>45482</v>
      </c>
      <c r="E136" t="inlineStr">
        <is>
          <t>No</t>
        </is>
      </c>
      <c r="F136" t="n">
        <v>10</v>
      </c>
      <c r="G136" t="inlineStr">
        <is>
          <t>Monthly</t>
        </is>
      </c>
      <c r="H136" t="inlineStr">
        <is>
          <t>No</t>
        </is>
      </c>
      <c r="I136" t="inlineStr">
        <is>
          <t>-</t>
        </is>
      </c>
      <c r="J136" t="inlineStr">
        <is>
          <t>Yes</t>
        </is>
      </c>
      <c r="K136" t="n">
        <v>20</v>
      </c>
      <c r="L136" t="n">
        <v>10</v>
      </c>
      <c r="M136" t="n">
        <v>20</v>
      </c>
    </row>
    <row r="137">
      <c r="A137" t="n">
        <v>3366</v>
      </c>
      <c r="B137" t="inlineStr">
        <is>
          <t>Yolanda Freitas</t>
        </is>
      </c>
      <c r="C137" t="inlineStr">
        <is>
          <t>Core</t>
        </is>
      </c>
      <c r="D137" s="21" t="n">
        <v>45483</v>
      </c>
      <c r="E137" t="inlineStr">
        <is>
          <t>Yes</t>
        </is>
      </c>
      <c r="F137" t="n">
        <v>5</v>
      </c>
      <c r="G137" t="inlineStr">
        <is>
          <t>Monthly</t>
        </is>
      </c>
      <c r="H137" t="inlineStr">
        <is>
          <t>No</t>
        </is>
      </c>
      <c r="I137" t="inlineStr">
        <is>
          <t>-</t>
        </is>
      </c>
      <c r="J137" t="inlineStr">
        <is>
          <t>No</t>
        </is>
      </c>
      <c r="K137" t="n">
        <v>0</v>
      </c>
      <c r="L137" t="n">
        <v>0</v>
      </c>
      <c r="M137" t="n">
        <v>5</v>
      </c>
    </row>
    <row r="138">
      <c r="A138" t="n">
        <v>3367</v>
      </c>
      <c r="B138" t="inlineStr">
        <is>
          <t>Zacarias Nunes</t>
        </is>
      </c>
      <c r="C138" t="inlineStr">
        <is>
          <t>Ultimate</t>
        </is>
      </c>
      <c r="D138" s="21" t="n">
        <v>45484</v>
      </c>
      <c r="E138" t="inlineStr">
        <is>
          <t>No</t>
        </is>
      </c>
      <c r="F138" t="n">
        <v>15</v>
      </c>
      <c r="G138" t="inlineStr">
        <is>
          <t>Quarterly</t>
        </is>
      </c>
      <c r="H138" t="inlineStr">
        <is>
          <t>Yes</t>
        </is>
      </c>
      <c r="I138" t="n">
        <v>30</v>
      </c>
      <c r="J138" t="inlineStr">
        <is>
          <t>Yes</t>
        </is>
      </c>
      <c r="K138" t="n">
        <v>20</v>
      </c>
      <c r="L138" t="n">
        <v>7</v>
      </c>
      <c r="M138" t="n">
        <v>58</v>
      </c>
    </row>
    <row r="139">
      <c r="A139" t="n">
        <v>3368</v>
      </c>
      <c r="B139" t="inlineStr">
        <is>
          <t>Ana Clara Barreto</t>
        </is>
      </c>
      <c r="C139" t="inlineStr">
        <is>
          <t>Standard</t>
        </is>
      </c>
      <c r="D139" s="21" t="n">
        <v>45485</v>
      </c>
      <c r="E139" t="inlineStr">
        <is>
          <t>Yes</t>
        </is>
      </c>
      <c r="F139" t="n">
        <v>10</v>
      </c>
      <c r="G139" t="inlineStr">
        <is>
          <t>Annual</t>
        </is>
      </c>
      <c r="H139" t="inlineStr">
        <is>
          <t>No</t>
        </is>
      </c>
      <c r="I139" t="inlineStr">
        <is>
          <t>-</t>
        </is>
      </c>
      <c r="J139" t="inlineStr">
        <is>
          <t>Yes</t>
        </is>
      </c>
      <c r="K139" t="n">
        <v>20</v>
      </c>
      <c r="L139" t="n">
        <v>10</v>
      </c>
      <c r="M139" t="n">
        <v>20</v>
      </c>
    </row>
    <row r="140">
      <c r="A140" t="n">
        <v>3369</v>
      </c>
      <c r="B140" t="inlineStr">
        <is>
          <t>Bruno Henrique</t>
        </is>
      </c>
      <c r="C140" t="inlineStr">
        <is>
          <t>Core</t>
        </is>
      </c>
      <c r="D140" s="21" t="n">
        <v>45486</v>
      </c>
      <c r="E140" t="inlineStr">
        <is>
          <t>No</t>
        </is>
      </c>
      <c r="F140" t="n">
        <v>5</v>
      </c>
      <c r="G140" t="inlineStr">
        <is>
          <t>Quarterly</t>
        </is>
      </c>
      <c r="H140" t="inlineStr">
        <is>
          <t>No</t>
        </is>
      </c>
      <c r="I140" t="inlineStr">
        <is>
          <t>-</t>
        </is>
      </c>
      <c r="J140" t="inlineStr">
        <is>
          <t>No</t>
        </is>
      </c>
      <c r="K140" t="n">
        <v>0</v>
      </c>
      <c r="L140" t="n">
        <v>1</v>
      </c>
      <c r="M140" t="n">
        <v>4</v>
      </c>
    </row>
    <row r="141">
      <c r="A141" t="n">
        <v>3370</v>
      </c>
      <c r="B141" t="inlineStr">
        <is>
          <t>Carlos Eduardo</t>
        </is>
      </c>
      <c r="C141" t="inlineStr">
        <is>
          <t>Ultimate</t>
        </is>
      </c>
      <c r="D141" s="21" t="n">
        <v>45487</v>
      </c>
      <c r="E141" t="inlineStr">
        <is>
          <t>Yes</t>
        </is>
      </c>
      <c r="F141" t="n">
        <v>15</v>
      </c>
      <c r="G141" t="inlineStr">
        <is>
          <t>Monthly</t>
        </is>
      </c>
      <c r="H141" t="inlineStr">
        <is>
          <t>Yes</t>
        </is>
      </c>
      <c r="I141" t="n">
        <v>30</v>
      </c>
      <c r="J141" t="inlineStr">
        <is>
          <t>Yes</t>
        </is>
      </c>
      <c r="K141" t="n">
        <v>20</v>
      </c>
      <c r="L141" t="n">
        <v>15</v>
      </c>
      <c r="M141" t="n">
        <v>50</v>
      </c>
    </row>
    <row r="142">
      <c r="A142" t="n">
        <v>3371</v>
      </c>
      <c r="B142" t="inlineStr">
        <is>
          <t>Débora Lima</t>
        </is>
      </c>
      <c r="C142" t="inlineStr">
        <is>
          <t>Standard</t>
        </is>
      </c>
      <c r="D142" s="21" t="n">
        <v>45488</v>
      </c>
      <c r="E142" t="inlineStr">
        <is>
          <t>No</t>
        </is>
      </c>
      <c r="F142" t="n">
        <v>10</v>
      </c>
      <c r="G142" t="inlineStr">
        <is>
          <t>Monthly</t>
        </is>
      </c>
      <c r="H142" t="inlineStr">
        <is>
          <t>No</t>
        </is>
      </c>
      <c r="I142" t="inlineStr">
        <is>
          <t>-</t>
        </is>
      </c>
      <c r="J142" t="inlineStr">
        <is>
          <t>Yes</t>
        </is>
      </c>
      <c r="K142" t="n">
        <v>20</v>
      </c>
      <c r="L142" t="n">
        <v>5</v>
      </c>
      <c r="M142" t="n">
        <v>25</v>
      </c>
    </row>
    <row r="143">
      <c r="A143" t="n">
        <v>3372</v>
      </c>
      <c r="B143" t="inlineStr">
        <is>
          <t>Elisa Neves</t>
        </is>
      </c>
      <c r="C143" t="inlineStr">
        <is>
          <t>Core</t>
        </is>
      </c>
      <c r="D143" s="21" t="n">
        <v>45489</v>
      </c>
      <c r="E143" t="inlineStr">
        <is>
          <t>Yes</t>
        </is>
      </c>
      <c r="F143" t="n">
        <v>5</v>
      </c>
      <c r="G143" t="inlineStr">
        <is>
          <t>Annual</t>
        </is>
      </c>
      <c r="H143" t="inlineStr">
        <is>
          <t>No</t>
        </is>
      </c>
      <c r="I143" t="inlineStr">
        <is>
          <t>-</t>
        </is>
      </c>
      <c r="J143" t="inlineStr">
        <is>
          <t>No</t>
        </is>
      </c>
      <c r="K143" t="n">
        <v>0</v>
      </c>
      <c r="L143" t="n">
        <v>0</v>
      </c>
      <c r="M143" t="n">
        <v>5</v>
      </c>
    </row>
    <row r="144">
      <c r="A144" t="n">
        <v>3373</v>
      </c>
      <c r="B144" t="inlineStr">
        <is>
          <t>Fabiano Gomes</t>
        </is>
      </c>
      <c r="C144" t="inlineStr">
        <is>
          <t>Ultimate</t>
        </is>
      </c>
      <c r="D144" s="21" t="n">
        <v>45490</v>
      </c>
      <c r="E144" t="inlineStr">
        <is>
          <t>No</t>
        </is>
      </c>
      <c r="F144" t="n">
        <v>15</v>
      </c>
      <c r="G144" t="inlineStr">
        <is>
          <t>Quarterly</t>
        </is>
      </c>
      <c r="H144" t="inlineStr">
        <is>
          <t>Yes</t>
        </is>
      </c>
      <c r="I144" t="n">
        <v>30</v>
      </c>
      <c r="J144" t="inlineStr">
        <is>
          <t>Yes</t>
        </is>
      </c>
      <c r="K144" t="n">
        <v>20</v>
      </c>
      <c r="L144" t="n">
        <v>20</v>
      </c>
      <c r="M144" t="n">
        <v>45</v>
      </c>
    </row>
    <row r="145">
      <c r="A145" t="n">
        <v>3374</v>
      </c>
      <c r="B145" t="inlineStr">
        <is>
          <t>Gisele Oliveira</t>
        </is>
      </c>
      <c r="C145" t="inlineStr">
        <is>
          <t>Standard</t>
        </is>
      </c>
      <c r="D145" s="21" t="n">
        <v>45491</v>
      </c>
      <c r="E145" t="inlineStr">
        <is>
          <t>Yes</t>
        </is>
      </c>
      <c r="F145" t="n">
        <v>10</v>
      </c>
      <c r="G145" t="inlineStr">
        <is>
          <t>Quarterly</t>
        </is>
      </c>
      <c r="H145" t="inlineStr">
        <is>
          <t>No</t>
        </is>
      </c>
      <c r="I145" t="inlineStr">
        <is>
          <t>-</t>
        </is>
      </c>
      <c r="J145" t="inlineStr">
        <is>
          <t>Yes</t>
        </is>
      </c>
      <c r="K145" t="n">
        <v>20</v>
      </c>
      <c r="L145" t="n">
        <v>12</v>
      </c>
      <c r="M145" t="n">
        <v>18</v>
      </c>
    </row>
    <row r="146">
      <c r="A146" t="n">
        <v>3375</v>
      </c>
      <c r="B146" t="inlineStr">
        <is>
          <t>Héctor Silva</t>
        </is>
      </c>
      <c r="C146" t="inlineStr">
        <is>
          <t>Core</t>
        </is>
      </c>
      <c r="D146" s="21" t="n">
        <v>45492</v>
      </c>
      <c r="E146" t="inlineStr">
        <is>
          <t>No</t>
        </is>
      </c>
      <c r="F146" t="n">
        <v>5</v>
      </c>
      <c r="G146" t="inlineStr">
        <is>
          <t>Monthly</t>
        </is>
      </c>
      <c r="H146" t="inlineStr">
        <is>
          <t>No</t>
        </is>
      </c>
      <c r="I146" t="inlineStr">
        <is>
          <t>-</t>
        </is>
      </c>
      <c r="J146" t="inlineStr">
        <is>
          <t>No</t>
        </is>
      </c>
      <c r="K146" t="n">
        <v>0</v>
      </c>
      <c r="L146" t="n">
        <v>2</v>
      </c>
      <c r="M146" t="n">
        <v>3</v>
      </c>
    </row>
    <row r="147">
      <c r="A147" t="n">
        <v>3376</v>
      </c>
      <c r="B147" t="inlineStr">
        <is>
          <t>Igor Martins</t>
        </is>
      </c>
      <c r="C147" t="inlineStr">
        <is>
          <t>Ultimate</t>
        </is>
      </c>
      <c r="D147" s="21" t="n">
        <v>45493</v>
      </c>
      <c r="E147" t="inlineStr">
        <is>
          <t>Yes</t>
        </is>
      </c>
      <c r="F147" t="n">
        <v>15</v>
      </c>
      <c r="G147" t="inlineStr">
        <is>
          <t>Annual</t>
        </is>
      </c>
      <c r="H147" t="inlineStr">
        <is>
          <t>Yes</t>
        </is>
      </c>
      <c r="I147" t="n">
        <v>30</v>
      </c>
      <c r="J147" t="inlineStr">
        <is>
          <t>Yes</t>
        </is>
      </c>
      <c r="K147" t="n">
        <v>20</v>
      </c>
      <c r="L147" t="n">
        <v>5</v>
      </c>
      <c r="M147" t="n">
        <v>60</v>
      </c>
    </row>
    <row r="148">
      <c r="A148" t="n">
        <v>3377</v>
      </c>
      <c r="B148" t="inlineStr">
        <is>
          <t>Joana Figueiredo</t>
        </is>
      </c>
      <c r="C148" t="inlineStr">
        <is>
          <t>Standard</t>
        </is>
      </c>
      <c r="D148" s="21" t="n">
        <v>45494</v>
      </c>
      <c r="E148" t="inlineStr">
        <is>
          <t>No</t>
        </is>
      </c>
      <c r="F148" t="n">
        <v>10</v>
      </c>
      <c r="G148" t="inlineStr">
        <is>
          <t>Monthly</t>
        </is>
      </c>
      <c r="H148" t="inlineStr">
        <is>
          <t>No</t>
        </is>
      </c>
      <c r="I148" t="inlineStr">
        <is>
          <t>-</t>
        </is>
      </c>
      <c r="J148" t="inlineStr">
        <is>
          <t>Yes</t>
        </is>
      </c>
      <c r="K148" t="n">
        <v>20</v>
      </c>
      <c r="L148" t="n">
        <v>10</v>
      </c>
      <c r="M148" t="n">
        <v>20</v>
      </c>
    </row>
    <row r="149">
      <c r="A149" t="n">
        <v>3378</v>
      </c>
      <c r="B149" t="inlineStr">
        <is>
          <t>Kleber Machado</t>
        </is>
      </c>
      <c r="C149" t="inlineStr">
        <is>
          <t>Core</t>
        </is>
      </c>
      <c r="D149" s="21" t="n">
        <v>45495</v>
      </c>
      <c r="E149" t="inlineStr">
        <is>
          <t>Yes</t>
        </is>
      </c>
      <c r="F149" t="n">
        <v>5</v>
      </c>
      <c r="G149" t="inlineStr">
        <is>
          <t>Quarterly</t>
        </is>
      </c>
      <c r="H149" t="inlineStr">
        <is>
          <t>No</t>
        </is>
      </c>
      <c r="I149" t="inlineStr">
        <is>
          <t>-</t>
        </is>
      </c>
      <c r="J149" t="inlineStr">
        <is>
          <t>No</t>
        </is>
      </c>
      <c r="K149" t="n">
        <v>0</v>
      </c>
      <c r="L149" t="n">
        <v>0</v>
      </c>
      <c r="M149" t="n">
        <v>5</v>
      </c>
    </row>
    <row r="150">
      <c r="A150" t="n">
        <v>3379</v>
      </c>
      <c r="B150" t="inlineStr">
        <is>
          <t>Luciana Santos</t>
        </is>
      </c>
      <c r="C150" t="inlineStr">
        <is>
          <t>Ultimate</t>
        </is>
      </c>
      <c r="D150" s="21" t="n">
        <v>45496</v>
      </c>
      <c r="E150" t="inlineStr">
        <is>
          <t>No</t>
        </is>
      </c>
      <c r="F150" t="n">
        <v>15</v>
      </c>
      <c r="G150" t="inlineStr">
        <is>
          <t>Monthly</t>
        </is>
      </c>
      <c r="H150" t="inlineStr">
        <is>
          <t>Yes</t>
        </is>
      </c>
      <c r="I150" t="n">
        <v>30</v>
      </c>
      <c r="J150" t="inlineStr">
        <is>
          <t>Yes</t>
        </is>
      </c>
      <c r="K150" t="n">
        <v>20</v>
      </c>
      <c r="L150" t="n">
        <v>3</v>
      </c>
      <c r="M150" t="n">
        <v>62</v>
      </c>
    </row>
    <row r="151">
      <c r="A151" t="n">
        <v>3380</v>
      </c>
      <c r="B151" t="inlineStr">
        <is>
          <t>Marcos Teixeira</t>
        </is>
      </c>
      <c r="C151" t="inlineStr">
        <is>
          <t>Standard</t>
        </is>
      </c>
      <c r="D151" s="21" t="n">
        <v>45497</v>
      </c>
      <c r="E151" t="inlineStr">
        <is>
          <t>Yes</t>
        </is>
      </c>
      <c r="F151" t="n">
        <v>10</v>
      </c>
      <c r="G151" t="inlineStr">
        <is>
          <t>Annual</t>
        </is>
      </c>
      <c r="H151" t="inlineStr">
        <is>
          <t>No</t>
        </is>
      </c>
      <c r="I151" t="inlineStr">
        <is>
          <t>-</t>
        </is>
      </c>
      <c r="J151" t="inlineStr">
        <is>
          <t>Yes</t>
        </is>
      </c>
      <c r="K151" t="n">
        <v>20</v>
      </c>
      <c r="L151" t="n">
        <v>15</v>
      </c>
      <c r="M151" t="n">
        <v>15</v>
      </c>
    </row>
    <row r="152">
      <c r="A152" t="n">
        <v>3381</v>
      </c>
      <c r="B152" t="inlineStr">
        <is>
          <t>Natalia Costa</t>
        </is>
      </c>
      <c r="C152" t="inlineStr">
        <is>
          <t>Core</t>
        </is>
      </c>
      <c r="D152" s="21" t="n">
        <v>45498</v>
      </c>
      <c r="E152" t="inlineStr">
        <is>
          <t>No</t>
        </is>
      </c>
      <c r="F152" t="n">
        <v>5</v>
      </c>
      <c r="G152" t="inlineStr">
        <is>
          <t>Monthly</t>
        </is>
      </c>
      <c r="H152" t="inlineStr">
        <is>
          <t>No</t>
        </is>
      </c>
      <c r="I152" t="inlineStr">
        <is>
          <t>-</t>
        </is>
      </c>
      <c r="J152" t="inlineStr">
        <is>
          <t>No</t>
        </is>
      </c>
      <c r="K152" t="n">
        <v>0</v>
      </c>
      <c r="L152" t="n">
        <v>1</v>
      </c>
      <c r="M152" t="n">
        <v>4</v>
      </c>
    </row>
    <row r="153">
      <c r="A153" t="n">
        <v>3382</v>
      </c>
      <c r="B153" t="inlineStr">
        <is>
          <t>Oscar Ribeiro</t>
        </is>
      </c>
      <c r="C153" t="inlineStr">
        <is>
          <t>Ultimate</t>
        </is>
      </c>
      <c r="D153" s="21" t="n">
        <v>45499</v>
      </c>
      <c r="E153" t="inlineStr">
        <is>
          <t>Yes</t>
        </is>
      </c>
      <c r="F153" t="n">
        <v>15</v>
      </c>
      <c r="G153" t="inlineStr">
        <is>
          <t>Quarterly</t>
        </is>
      </c>
      <c r="H153" t="inlineStr">
        <is>
          <t>Yes</t>
        </is>
      </c>
      <c r="I153" t="n">
        <v>30</v>
      </c>
      <c r="J153" t="inlineStr">
        <is>
          <t>Yes</t>
        </is>
      </c>
      <c r="K153" t="n">
        <v>20</v>
      </c>
      <c r="L153" t="n">
        <v>7</v>
      </c>
      <c r="M153" t="n">
        <v>58</v>
      </c>
    </row>
    <row r="154">
      <c r="A154" t="n">
        <v>3383</v>
      </c>
      <c r="B154" t="inlineStr">
        <is>
          <t>Patricia Almeida</t>
        </is>
      </c>
      <c r="C154" t="inlineStr">
        <is>
          <t>Standard</t>
        </is>
      </c>
      <c r="D154" s="21" t="n">
        <v>45500</v>
      </c>
      <c r="E154" t="inlineStr">
        <is>
          <t>No</t>
        </is>
      </c>
      <c r="F154" t="n">
        <v>10</v>
      </c>
      <c r="G154" t="inlineStr">
        <is>
          <t>Monthly</t>
        </is>
      </c>
      <c r="H154" t="inlineStr">
        <is>
          <t>No</t>
        </is>
      </c>
      <c r="I154" t="inlineStr">
        <is>
          <t>-</t>
        </is>
      </c>
      <c r="J154" t="inlineStr">
        <is>
          <t>Yes</t>
        </is>
      </c>
      <c r="K154" t="n">
        <v>20</v>
      </c>
      <c r="L154" t="n">
        <v>10</v>
      </c>
      <c r="M154" t="n">
        <v>20</v>
      </c>
    </row>
    <row r="155">
      <c r="A155" t="n">
        <v>3384</v>
      </c>
      <c r="B155" t="inlineStr">
        <is>
          <t>Quirino Junior</t>
        </is>
      </c>
      <c r="C155" t="inlineStr">
        <is>
          <t>Core</t>
        </is>
      </c>
      <c r="D155" s="21" t="n">
        <v>45501</v>
      </c>
      <c r="E155" t="inlineStr">
        <is>
          <t>Yes</t>
        </is>
      </c>
      <c r="F155" t="n">
        <v>5</v>
      </c>
      <c r="G155" t="inlineStr">
        <is>
          <t>Annual</t>
        </is>
      </c>
      <c r="H155" t="inlineStr">
        <is>
          <t>No</t>
        </is>
      </c>
      <c r="I155" t="inlineStr">
        <is>
          <t>-</t>
        </is>
      </c>
      <c r="J155" t="inlineStr">
        <is>
          <t>No</t>
        </is>
      </c>
      <c r="K155" t="n">
        <v>0</v>
      </c>
      <c r="L155" t="n">
        <v>0</v>
      </c>
      <c r="M155" t="n">
        <v>5</v>
      </c>
    </row>
    <row r="156">
      <c r="A156" t="n">
        <v>3385</v>
      </c>
      <c r="B156" t="inlineStr">
        <is>
          <t>Renata Machado</t>
        </is>
      </c>
      <c r="C156" t="inlineStr">
        <is>
          <t>Ultimate</t>
        </is>
      </c>
      <c r="D156" s="21" t="n">
        <v>45502</v>
      </c>
      <c r="E156" t="inlineStr">
        <is>
          <t>No</t>
        </is>
      </c>
      <c r="F156" t="n">
        <v>15</v>
      </c>
      <c r="G156" t="inlineStr">
        <is>
          <t>Monthly</t>
        </is>
      </c>
      <c r="H156" t="inlineStr">
        <is>
          <t>Yes</t>
        </is>
      </c>
      <c r="I156" t="n">
        <v>30</v>
      </c>
      <c r="J156" t="inlineStr">
        <is>
          <t>Yes</t>
        </is>
      </c>
      <c r="K156" t="n">
        <v>20</v>
      </c>
      <c r="L156" t="n">
        <v>20</v>
      </c>
      <c r="M156" t="n">
        <v>45</v>
      </c>
    </row>
    <row r="157">
      <c r="A157" t="n">
        <v>3386</v>
      </c>
      <c r="B157" t="inlineStr">
        <is>
          <t>Sônia Alves</t>
        </is>
      </c>
      <c r="C157" t="inlineStr">
        <is>
          <t>Standard</t>
        </is>
      </c>
      <c r="D157" s="21" t="n">
        <v>45503</v>
      </c>
      <c r="E157" t="inlineStr">
        <is>
          <t>Yes</t>
        </is>
      </c>
      <c r="F157" t="n">
        <v>10</v>
      </c>
      <c r="G157" t="inlineStr">
        <is>
          <t>Quarterly</t>
        </is>
      </c>
      <c r="H157" t="inlineStr">
        <is>
          <t>No</t>
        </is>
      </c>
      <c r="I157" t="inlineStr">
        <is>
          <t>-</t>
        </is>
      </c>
      <c r="J157" t="inlineStr">
        <is>
          <t>Yes</t>
        </is>
      </c>
      <c r="K157" t="n">
        <v>20</v>
      </c>
      <c r="L157" t="n">
        <v>15</v>
      </c>
      <c r="M157" t="n">
        <v>15</v>
      </c>
    </row>
    <row r="158">
      <c r="A158" t="n">
        <v>3387</v>
      </c>
      <c r="B158" t="inlineStr">
        <is>
          <t>Tiago Nunes</t>
        </is>
      </c>
      <c r="C158" t="inlineStr">
        <is>
          <t>Core</t>
        </is>
      </c>
      <c r="D158" s="21" t="n">
        <v>45504</v>
      </c>
      <c r="E158" t="inlineStr">
        <is>
          <t>No</t>
        </is>
      </c>
      <c r="F158" t="n">
        <v>5</v>
      </c>
      <c r="G158" t="inlineStr">
        <is>
          <t>Monthly</t>
        </is>
      </c>
      <c r="H158" t="inlineStr">
        <is>
          <t>No</t>
        </is>
      </c>
      <c r="I158" t="inlineStr">
        <is>
          <t>-</t>
        </is>
      </c>
      <c r="J158" t="inlineStr">
        <is>
          <t>No</t>
        </is>
      </c>
      <c r="K158" t="n">
        <v>0</v>
      </c>
      <c r="L158" t="n">
        <v>1</v>
      </c>
      <c r="M158" t="n">
        <v>4</v>
      </c>
    </row>
    <row r="159">
      <c r="A159" t="n">
        <v>3388</v>
      </c>
      <c r="B159" t="inlineStr">
        <is>
          <t>Ulysses Pereira</t>
        </is>
      </c>
      <c r="C159" t="inlineStr">
        <is>
          <t>Ultimate</t>
        </is>
      </c>
      <c r="D159" s="21" t="n">
        <v>45505</v>
      </c>
      <c r="E159" t="inlineStr">
        <is>
          <t>Yes</t>
        </is>
      </c>
      <c r="F159" t="n">
        <v>15</v>
      </c>
      <c r="G159" t="inlineStr">
        <is>
          <t>Annual</t>
        </is>
      </c>
      <c r="H159" t="inlineStr">
        <is>
          <t>Yes</t>
        </is>
      </c>
      <c r="I159" t="n">
        <v>30</v>
      </c>
      <c r="J159" t="inlineStr">
        <is>
          <t>Yes</t>
        </is>
      </c>
      <c r="K159" t="n">
        <v>20</v>
      </c>
      <c r="L159" t="n">
        <v>3</v>
      </c>
      <c r="M159" t="n">
        <v>62</v>
      </c>
    </row>
    <row r="160">
      <c r="A160" t="n">
        <v>3389</v>
      </c>
      <c r="B160" t="inlineStr">
        <is>
          <t>Vanessa Lima</t>
        </is>
      </c>
      <c r="C160" t="inlineStr">
        <is>
          <t>Standard</t>
        </is>
      </c>
      <c r="D160" s="21" t="n">
        <v>45506</v>
      </c>
      <c r="E160" t="inlineStr">
        <is>
          <t>No</t>
        </is>
      </c>
      <c r="F160" t="n">
        <v>10</v>
      </c>
      <c r="G160" t="inlineStr">
        <is>
          <t>Monthly</t>
        </is>
      </c>
      <c r="H160" t="inlineStr">
        <is>
          <t>No</t>
        </is>
      </c>
      <c r="I160" t="inlineStr">
        <is>
          <t>-</t>
        </is>
      </c>
      <c r="J160" t="inlineStr">
        <is>
          <t>Yes</t>
        </is>
      </c>
      <c r="K160" t="n">
        <v>20</v>
      </c>
      <c r="L160" t="n">
        <v>10</v>
      </c>
      <c r="M160" t="n">
        <v>20</v>
      </c>
    </row>
    <row r="161">
      <c r="A161" t="n">
        <v>3390</v>
      </c>
      <c r="B161" t="inlineStr">
        <is>
          <t>Wagner Santos</t>
        </is>
      </c>
      <c r="C161" t="inlineStr">
        <is>
          <t>Core</t>
        </is>
      </c>
      <c r="D161" s="21" t="n">
        <v>45507</v>
      </c>
      <c r="E161" t="inlineStr">
        <is>
          <t>Yes</t>
        </is>
      </c>
      <c r="F161" t="n">
        <v>5</v>
      </c>
      <c r="G161" t="inlineStr">
        <is>
          <t>Quarterly</t>
        </is>
      </c>
      <c r="H161" t="inlineStr">
        <is>
          <t>No</t>
        </is>
      </c>
      <c r="I161" t="inlineStr">
        <is>
          <t>-</t>
        </is>
      </c>
      <c r="J161" t="inlineStr">
        <is>
          <t>No</t>
        </is>
      </c>
      <c r="K161" t="n">
        <v>0</v>
      </c>
      <c r="L161" t="n">
        <v>0</v>
      </c>
      <c r="M161" t="n">
        <v>5</v>
      </c>
    </row>
    <row r="162">
      <c r="A162" t="n">
        <v>3391</v>
      </c>
      <c r="B162" t="inlineStr">
        <is>
          <t>Xuxa Meneghel</t>
        </is>
      </c>
      <c r="C162" t="inlineStr">
        <is>
          <t>Ultimate</t>
        </is>
      </c>
      <c r="D162" s="21" t="n">
        <v>45508</v>
      </c>
      <c r="E162" t="inlineStr">
        <is>
          <t>No</t>
        </is>
      </c>
      <c r="F162" t="n">
        <v>15</v>
      </c>
      <c r="G162" t="inlineStr">
        <is>
          <t>Monthly</t>
        </is>
      </c>
      <c r="H162" t="inlineStr">
        <is>
          <t>Yes</t>
        </is>
      </c>
      <c r="I162" t="n">
        <v>30</v>
      </c>
      <c r="J162" t="inlineStr">
        <is>
          <t>Yes</t>
        </is>
      </c>
      <c r="K162" t="n">
        <v>20</v>
      </c>
      <c r="L162" t="n">
        <v>15</v>
      </c>
      <c r="M162" t="n">
        <v>50</v>
      </c>
    </row>
    <row r="163">
      <c r="A163" t="n">
        <v>3392</v>
      </c>
      <c r="B163" t="inlineStr">
        <is>
          <t>Yasmin Silva</t>
        </is>
      </c>
      <c r="C163" t="inlineStr">
        <is>
          <t>Standard</t>
        </is>
      </c>
      <c r="D163" s="21" t="n">
        <v>45509</v>
      </c>
      <c r="E163" t="inlineStr">
        <is>
          <t>Yes</t>
        </is>
      </c>
      <c r="F163" t="n">
        <v>10</v>
      </c>
      <c r="G163" t="inlineStr">
        <is>
          <t>Annual</t>
        </is>
      </c>
      <c r="H163" t="inlineStr">
        <is>
          <t>No</t>
        </is>
      </c>
      <c r="I163" t="inlineStr">
        <is>
          <t>-</t>
        </is>
      </c>
      <c r="J163" t="inlineStr">
        <is>
          <t>Yes</t>
        </is>
      </c>
      <c r="K163" t="n">
        <v>20</v>
      </c>
      <c r="L163" t="n">
        <v>15</v>
      </c>
      <c r="M163" t="n">
        <v>15</v>
      </c>
    </row>
    <row r="164">
      <c r="A164" t="n">
        <v>3393</v>
      </c>
      <c r="B164" t="inlineStr">
        <is>
          <t>Zacarias de Souza</t>
        </is>
      </c>
      <c r="C164" t="inlineStr">
        <is>
          <t>Core</t>
        </is>
      </c>
      <c r="D164" s="21" t="n">
        <v>45510</v>
      </c>
      <c r="E164" t="inlineStr">
        <is>
          <t>No</t>
        </is>
      </c>
      <c r="F164" t="n">
        <v>5</v>
      </c>
      <c r="G164" t="inlineStr">
        <is>
          <t>Monthly</t>
        </is>
      </c>
      <c r="H164" t="inlineStr">
        <is>
          <t>No</t>
        </is>
      </c>
      <c r="I164" t="inlineStr">
        <is>
          <t>-</t>
        </is>
      </c>
      <c r="J164" t="inlineStr">
        <is>
          <t>No</t>
        </is>
      </c>
      <c r="K164" t="n">
        <v>0</v>
      </c>
      <c r="L164" t="n">
        <v>1</v>
      </c>
      <c r="M164" t="n">
        <v>4</v>
      </c>
    </row>
    <row r="165">
      <c r="A165" t="n">
        <v>3394</v>
      </c>
      <c r="B165" t="inlineStr">
        <is>
          <t>André Lima</t>
        </is>
      </c>
      <c r="C165" t="inlineStr">
        <is>
          <t>Ultimate</t>
        </is>
      </c>
      <c r="D165" s="21" t="n">
        <v>45511</v>
      </c>
      <c r="E165" t="inlineStr">
        <is>
          <t>Yes</t>
        </is>
      </c>
      <c r="F165" t="n">
        <v>15</v>
      </c>
      <c r="G165" t="inlineStr">
        <is>
          <t>Quarterly</t>
        </is>
      </c>
      <c r="H165" t="inlineStr">
        <is>
          <t>Yes</t>
        </is>
      </c>
      <c r="I165" t="n">
        <v>30</v>
      </c>
      <c r="J165" t="inlineStr">
        <is>
          <t>Yes</t>
        </is>
      </c>
      <c r="K165" t="n">
        <v>20</v>
      </c>
      <c r="L165" t="n">
        <v>7</v>
      </c>
      <c r="M165" t="n">
        <v>58</v>
      </c>
    </row>
    <row r="166">
      <c r="A166" t="n">
        <v>3395</v>
      </c>
      <c r="B166" t="inlineStr">
        <is>
          <t>Bianca Freitas</t>
        </is>
      </c>
      <c r="C166" t="inlineStr">
        <is>
          <t>Standard</t>
        </is>
      </c>
      <c r="D166" s="21" t="n">
        <v>45512</v>
      </c>
      <c r="E166" t="inlineStr">
        <is>
          <t>No</t>
        </is>
      </c>
      <c r="F166" t="n">
        <v>10</v>
      </c>
      <c r="G166" t="inlineStr">
        <is>
          <t>Monthly</t>
        </is>
      </c>
      <c r="H166" t="inlineStr">
        <is>
          <t>No</t>
        </is>
      </c>
      <c r="I166" t="inlineStr">
        <is>
          <t>-</t>
        </is>
      </c>
      <c r="J166" t="inlineStr">
        <is>
          <t>Yes</t>
        </is>
      </c>
      <c r="K166" t="n">
        <v>20</v>
      </c>
      <c r="L166" t="n">
        <v>10</v>
      </c>
      <c r="M166" t="n">
        <v>20</v>
      </c>
    </row>
    <row r="167">
      <c r="A167" t="n">
        <v>3396</v>
      </c>
      <c r="B167" t="inlineStr">
        <is>
          <t>Caio Mendes</t>
        </is>
      </c>
      <c r="C167" t="inlineStr">
        <is>
          <t>Core</t>
        </is>
      </c>
      <c r="D167" s="21" t="n">
        <v>45513</v>
      </c>
      <c r="E167" t="inlineStr">
        <is>
          <t>Yes</t>
        </is>
      </c>
      <c r="F167" t="n">
        <v>5</v>
      </c>
      <c r="G167" t="inlineStr">
        <is>
          <t>Annual</t>
        </is>
      </c>
      <c r="H167" t="inlineStr">
        <is>
          <t>No</t>
        </is>
      </c>
      <c r="I167" t="inlineStr">
        <is>
          <t>-</t>
        </is>
      </c>
      <c r="J167" t="inlineStr">
        <is>
          <t>No</t>
        </is>
      </c>
      <c r="K167" t="n">
        <v>0</v>
      </c>
      <c r="L167" t="n">
        <v>0</v>
      </c>
      <c r="M167" t="n">
        <v>5</v>
      </c>
    </row>
    <row r="168">
      <c r="A168" t="n">
        <v>3397</v>
      </c>
      <c r="B168" t="inlineStr">
        <is>
          <t>Daniela Moura</t>
        </is>
      </c>
      <c r="C168" t="inlineStr">
        <is>
          <t>Ultimate</t>
        </is>
      </c>
      <c r="D168" s="21" t="n">
        <v>45514</v>
      </c>
      <c r="E168" t="inlineStr">
        <is>
          <t>No</t>
        </is>
      </c>
      <c r="F168" t="n">
        <v>15</v>
      </c>
      <c r="G168" t="inlineStr">
        <is>
          <t>Monthly</t>
        </is>
      </c>
      <c r="H168" t="inlineStr">
        <is>
          <t>Yes</t>
        </is>
      </c>
      <c r="I168" t="n">
        <v>30</v>
      </c>
      <c r="J168" t="inlineStr">
        <is>
          <t>Yes</t>
        </is>
      </c>
      <c r="K168" t="n">
        <v>20</v>
      </c>
      <c r="L168" t="n">
        <v>20</v>
      </c>
      <c r="M168" t="n">
        <v>45</v>
      </c>
    </row>
    <row r="169">
      <c r="A169" t="n">
        <v>3398</v>
      </c>
      <c r="B169" t="inlineStr">
        <is>
          <t>Eduardo Costa</t>
        </is>
      </c>
      <c r="C169" t="inlineStr">
        <is>
          <t>Standard</t>
        </is>
      </c>
      <c r="D169" s="21" t="n">
        <v>45515</v>
      </c>
      <c r="E169" t="inlineStr">
        <is>
          <t>Yes</t>
        </is>
      </c>
      <c r="F169" t="n">
        <v>10</v>
      </c>
      <c r="G169" t="inlineStr">
        <is>
          <t>Quarterly</t>
        </is>
      </c>
      <c r="H169" t="inlineStr">
        <is>
          <t>No</t>
        </is>
      </c>
      <c r="I169" t="inlineStr">
        <is>
          <t>-</t>
        </is>
      </c>
      <c r="J169" t="inlineStr">
        <is>
          <t>Yes</t>
        </is>
      </c>
      <c r="K169" t="n">
        <v>20</v>
      </c>
      <c r="L169" t="n">
        <v>15</v>
      </c>
      <c r="M169" t="n">
        <v>15</v>
      </c>
    </row>
    <row r="170">
      <c r="A170" t="n">
        <v>3399</v>
      </c>
      <c r="B170" t="inlineStr">
        <is>
          <t>Fernanda Gomes</t>
        </is>
      </c>
      <c r="C170" t="inlineStr">
        <is>
          <t>Core</t>
        </is>
      </c>
      <c r="D170" s="21" t="n">
        <v>45516</v>
      </c>
      <c r="E170" t="inlineStr">
        <is>
          <t>No</t>
        </is>
      </c>
      <c r="F170" t="n">
        <v>5</v>
      </c>
      <c r="G170" t="inlineStr">
        <is>
          <t>Monthly</t>
        </is>
      </c>
      <c r="H170" t="inlineStr">
        <is>
          <t>No</t>
        </is>
      </c>
      <c r="I170" t="inlineStr">
        <is>
          <t>-</t>
        </is>
      </c>
      <c r="J170" t="inlineStr">
        <is>
          <t>No</t>
        </is>
      </c>
      <c r="K170" t="n">
        <v>0</v>
      </c>
      <c r="L170" t="n">
        <v>1</v>
      </c>
      <c r="M170" t="n">
        <v>4</v>
      </c>
    </row>
    <row r="171">
      <c r="A171" t="n">
        <v>3400</v>
      </c>
      <c r="B171" t="inlineStr">
        <is>
          <t>Guilherme Souza</t>
        </is>
      </c>
      <c r="C171" t="inlineStr">
        <is>
          <t>Ultimate</t>
        </is>
      </c>
      <c r="D171" s="21" t="n">
        <v>45517</v>
      </c>
      <c r="E171" t="inlineStr">
        <is>
          <t>Yes</t>
        </is>
      </c>
      <c r="F171" t="n">
        <v>15</v>
      </c>
      <c r="G171" t="inlineStr">
        <is>
          <t>Annual</t>
        </is>
      </c>
      <c r="H171" t="inlineStr">
        <is>
          <t>Yes</t>
        </is>
      </c>
      <c r="I171" t="n">
        <v>30</v>
      </c>
      <c r="J171" t="inlineStr">
        <is>
          <t>Yes</t>
        </is>
      </c>
      <c r="K171" t="n">
        <v>20</v>
      </c>
      <c r="L171" t="n">
        <v>5</v>
      </c>
      <c r="M171" t="n">
        <v>60</v>
      </c>
    </row>
    <row r="172">
      <c r="A172" t="n">
        <v>3401</v>
      </c>
      <c r="B172" t="inlineStr">
        <is>
          <t>Helena Ribeiro</t>
        </is>
      </c>
      <c r="C172" t="inlineStr">
        <is>
          <t>Standard</t>
        </is>
      </c>
      <c r="D172" s="21" t="n">
        <v>45518</v>
      </c>
      <c r="E172" t="inlineStr">
        <is>
          <t>No</t>
        </is>
      </c>
      <c r="F172" t="n">
        <v>10</v>
      </c>
      <c r="G172" t="inlineStr">
        <is>
          <t>Monthly</t>
        </is>
      </c>
      <c r="H172" t="inlineStr">
        <is>
          <t>No</t>
        </is>
      </c>
      <c r="I172" t="inlineStr">
        <is>
          <t>-</t>
        </is>
      </c>
      <c r="J172" t="inlineStr">
        <is>
          <t>Yes</t>
        </is>
      </c>
      <c r="K172" t="n">
        <v>20</v>
      </c>
      <c r="L172" t="n">
        <v>10</v>
      </c>
      <c r="M172" t="n">
        <v>20</v>
      </c>
    </row>
    <row r="173">
      <c r="A173" t="n">
        <v>3402</v>
      </c>
      <c r="B173" t="inlineStr">
        <is>
          <t>Igor Santos</t>
        </is>
      </c>
      <c r="C173" t="inlineStr">
        <is>
          <t>Core</t>
        </is>
      </c>
      <c r="D173" s="21" t="n">
        <v>45519</v>
      </c>
      <c r="E173" t="inlineStr">
        <is>
          <t>Yes</t>
        </is>
      </c>
      <c r="F173" t="n">
        <v>5</v>
      </c>
      <c r="G173" t="inlineStr">
        <is>
          <t>Quarterly</t>
        </is>
      </c>
      <c r="H173" t="inlineStr">
        <is>
          <t>No</t>
        </is>
      </c>
      <c r="I173" t="inlineStr">
        <is>
          <t>-</t>
        </is>
      </c>
      <c r="J173" t="inlineStr">
        <is>
          <t>No</t>
        </is>
      </c>
      <c r="K173" t="n">
        <v>0</v>
      </c>
      <c r="L173" t="n">
        <v>0</v>
      </c>
      <c r="M173" t="n">
        <v>5</v>
      </c>
    </row>
    <row r="174">
      <c r="A174" t="n">
        <v>3403</v>
      </c>
      <c r="B174" t="inlineStr">
        <is>
          <t>João Carvalho</t>
        </is>
      </c>
      <c r="C174" t="inlineStr">
        <is>
          <t>Ultimate</t>
        </is>
      </c>
      <c r="D174" s="21" t="n">
        <v>45520</v>
      </c>
      <c r="E174" t="inlineStr">
        <is>
          <t>No</t>
        </is>
      </c>
      <c r="F174" t="n">
        <v>15</v>
      </c>
      <c r="G174" t="inlineStr">
        <is>
          <t>Monthly</t>
        </is>
      </c>
      <c r="H174" t="inlineStr">
        <is>
          <t>Yes</t>
        </is>
      </c>
      <c r="I174" t="n">
        <v>30</v>
      </c>
      <c r="J174" t="inlineStr">
        <is>
          <t>Yes</t>
        </is>
      </c>
      <c r="K174" t="n">
        <v>20</v>
      </c>
      <c r="L174" t="n">
        <v>3</v>
      </c>
      <c r="M174" t="n">
        <v>62</v>
      </c>
    </row>
    <row r="175">
      <c r="A175" t="n">
        <v>3404</v>
      </c>
      <c r="B175" t="inlineStr">
        <is>
          <t>Klara Fagundes</t>
        </is>
      </c>
      <c r="C175" t="inlineStr">
        <is>
          <t>Standard</t>
        </is>
      </c>
      <c r="D175" s="21" t="n">
        <v>45521</v>
      </c>
      <c r="E175" t="inlineStr">
        <is>
          <t>Yes</t>
        </is>
      </c>
      <c r="F175" t="n">
        <v>10</v>
      </c>
      <c r="G175" t="inlineStr">
        <is>
          <t>Annual</t>
        </is>
      </c>
      <c r="H175" t="inlineStr">
        <is>
          <t>No</t>
        </is>
      </c>
      <c r="I175" t="inlineStr">
        <is>
          <t>-</t>
        </is>
      </c>
      <c r="J175" t="inlineStr">
        <is>
          <t>Yes</t>
        </is>
      </c>
      <c r="K175" t="n">
        <v>20</v>
      </c>
      <c r="L175" t="n">
        <v>15</v>
      </c>
      <c r="M175" t="n">
        <v>15</v>
      </c>
    </row>
    <row r="176">
      <c r="A176" t="n">
        <v>3405</v>
      </c>
      <c r="B176" t="inlineStr">
        <is>
          <t>Lúcia Mendonça</t>
        </is>
      </c>
      <c r="C176" t="inlineStr">
        <is>
          <t>Core</t>
        </is>
      </c>
      <c r="D176" s="21" t="n">
        <v>45522</v>
      </c>
      <c r="E176" t="inlineStr">
        <is>
          <t>No</t>
        </is>
      </c>
      <c r="F176" t="n">
        <v>5</v>
      </c>
      <c r="G176" t="inlineStr">
        <is>
          <t>Monthly</t>
        </is>
      </c>
      <c r="H176" t="inlineStr">
        <is>
          <t>No</t>
        </is>
      </c>
      <c r="I176" t="inlineStr">
        <is>
          <t>-</t>
        </is>
      </c>
      <c r="J176" t="inlineStr">
        <is>
          <t>No</t>
        </is>
      </c>
      <c r="K176" t="n">
        <v>0</v>
      </c>
      <c r="L176" t="n">
        <v>1</v>
      </c>
      <c r="M176" t="n">
        <v>4</v>
      </c>
    </row>
    <row r="177">
      <c r="A177" t="n">
        <v>3406</v>
      </c>
      <c r="B177" t="inlineStr">
        <is>
          <t>Marcelo Novaes</t>
        </is>
      </c>
      <c r="C177" t="inlineStr">
        <is>
          <t>Core</t>
        </is>
      </c>
      <c r="D177" s="21" t="n">
        <v>45523</v>
      </c>
      <c r="E177" t="inlineStr">
        <is>
          <t>Yes</t>
        </is>
      </c>
      <c r="F177" t="n">
        <v>5</v>
      </c>
      <c r="G177" t="inlineStr">
        <is>
          <t>Monthly</t>
        </is>
      </c>
      <c r="H177" t="inlineStr">
        <is>
          <t>No</t>
        </is>
      </c>
      <c r="I177" t="inlineStr">
        <is>
          <t>-</t>
        </is>
      </c>
      <c r="J177" t="inlineStr">
        <is>
          <t>No</t>
        </is>
      </c>
      <c r="K177" t="n">
        <v>0</v>
      </c>
      <c r="L177" t="n">
        <v>0</v>
      </c>
      <c r="M177" t="n">
        <v>5</v>
      </c>
    </row>
    <row r="178">
      <c r="A178" t="n">
        <v>3407</v>
      </c>
      <c r="B178" t="inlineStr">
        <is>
          <t>Nina Pacheco</t>
        </is>
      </c>
      <c r="C178" t="inlineStr">
        <is>
          <t>Ultimate</t>
        </is>
      </c>
      <c r="D178" s="21" t="n">
        <v>45524</v>
      </c>
      <c r="E178" t="inlineStr">
        <is>
          <t>No</t>
        </is>
      </c>
      <c r="F178" t="n">
        <v>15</v>
      </c>
      <c r="G178" t="inlineStr">
        <is>
          <t>Quarterly</t>
        </is>
      </c>
      <c r="H178" t="inlineStr">
        <is>
          <t>Yes</t>
        </is>
      </c>
      <c r="I178" t="n">
        <v>30</v>
      </c>
      <c r="J178" t="inlineStr">
        <is>
          <t>Yes</t>
        </is>
      </c>
      <c r="K178" t="n">
        <v>20</v>
      </c>
      <c r="L178" t="n">
        <v>7</v>
      </c>
      <c r="M178" t="n">
        <v>58</v>
      </c>
    </row>
    <row r="179">
      <c r="A179" t="n">
        <v>3408</v>
      </c>
      <c r="B179" t="inlineStr">
        <is>
          <t>Olívia Rios</t>
        </is>
      </c>
      <c r="C179" t="inlineStr">
        <is>
          <t>Standard</t>
        </is>
      </c>
      <c r="D179" s="21" t="n">
        <v>45525</v>
      </c>
      <c r="E179" t="inlineStr">
        <is>
          <t>Yes</t>
        </is>
      </c>
      <c r="F179" t="n">
        <v>10</v>
      </c>
      <c r="G179" t="inlineStr">
        <is>
          <t>Annual</t>
        </is>
      </c>
      <c r="H179" t="inlineStr">
        <is>
          <t>No</t>
        </is>
      </c>
      <c r="I179" t="inlineStr">
        <is>
          <t>-</t>
        </is>
      </c>
      <c r="J179" t="inlineStr">
        <is>
          <t>Yes</t>
        </is>
      </c>
      <c r="K179" t="n">
        <v>20</v>
      </c>
      <c r="L179" t="n">
        <v>10</v>
      </c>
      <c r="M179" t="n">
        <v>20</v>
      </c>
    </row>
    <row r="180">
      <c r="A180" t="n">
        <v>3409</v>
      </c>
      <c r="B180" t="inlineStr">
        <is>
          <t>Paulo Quintana</t>
        </is>
      </c>
      <c r="C180" t="inlineStr">
        <is>
          <t>Core</t>
        </is>
      </c>
      <c r="D180" s="21" t="n">
        <v>45526</v>
      </c>
      <c r="E180" t="inlineStr">
        <is>
          <t>No</t>
        </is>
      </c>
      <c r="F180" t="n">
        <v>5</v>
      </c>
      <c r="G180" t="inlineStr">
        <is>
          <t>Quarterly</t>
        </is>
      </c>
      <c r="H180" t="inlineStr">
        <is>
          <t>No</t>
        </is>
      </c>
      <c r="I180" t="inlineStr">
        <is>
          <t>-</t>
        </is>
      </c>
      <c r="J180" t="inlineStr">
        <is>
          <t>No</t>
        </is>
      </c>
      <c r="K180" t="n">
        <v>0</v>
      </c>
      <c r="L180" t="n">
        <v>1</v>
      </c>
      <c r="M180" t="n">
        <v>4</v>
      </c>
    </row>
    <row r="181">
      <c r="A181" t="n">
        <v>3410</v>
      </c>
      <c r="B181" t="inlineStr">
        <is>
          <t>Raquel Domingos</t>
        </is>
      </c>
      <c r="C181" t="inlineStr">
        <is>
          <t>Ultimate</t>
        </is>
      </c>
      <c r="D181" s="21" t="n">
        <v>45527</v>
      </c>
      <c r="E181" t="inlineStr">
        <is>
          <t>Yes</t>
        </is>
      </c>
      <c r="F181" t="n">
        <v>15</v>
      </c>
      <c r="G181" t="inlineStr">
        <is>
          <t>Monthly</t>
        </is>
      </c>
      <c r="H181" t="inlineStr">
        <is>
          <t>Yes</t>
        </is>
      </c>
      <c r="I181" t="n">
        <v>30</v>
      </c>
      <c r="J181" t="inlineStr">
        <is>
          <t>Yes</t>
        </is>
      </c>
      <c r="K181" t="n">
        <v>20</v>
      </c>
      <c r="L181" t="n">
        <v>15</v>
      </c>
      <c r="M181" t="n">
        <v>50</v>
      </c>
    </row>
    <row r="182">
      <c r="A182" t="n">
        <v>3411</v>
      </c>
      <c r="B182" t="inlineStr">
        <is>
          <t>Samuel Viana</t>
        </is>
      </c>
      <c r="C182" t="inlineStr">
        <is>
          <t>Standard</t>
        </is>
      </c>
      <c r="D182" s="21" t="n">
        <v>45528</v>
      </c>
      <c r="E182" t="inlineStr">
        <is>
          <t>No</t>
        </is>
      </c>
      <c r="F182" t="n">
        <v>10</v>
      </c>
      <c r="G182" t="inlineStr">
        <is>
          <t>Monthly</t>
        </is>
      </c>
      <c r="H182" t="inlineStr">
        <is>
          <t>No</t>
        </is>
      </c>
      <c r="I182" t="inlineStr">
        <is>
          <t>-</t>
        </is>
      </c>
      <c r="J182" t="inlineStr">
        <is>
          <t>Yes</t>
        </is>
      </c>
      <c r="K182" t="n">
        <v>20</v>
      </c>
      <c r="L182" t="n">
        <v>5</v>
      </c>
      <c r="M182" t="n">
        <v>25</v>
      </c>
    </row>
    <row r="183">
      <c r="A183" t="n">
        <v>3412</v>
      </c>
      <c r="B183" t="inlineStr">
        <is>
          <t>Tatiane Rocha</t>
        </is>
      </c>
      <c r="C183" t="inlineStr">
        <is>
          <t>Core</t>
        </is>
      </c>
      <c r="D183" s="21" t="n">
        <v>45529</v>
      </c>
      <c r="E183" t="inlineStr">
        <is>
          <t>Yes</t>
        </is>
      </c>
      <c r="F183" t="n">
        <v>5</v>
      </c>
      <c r="G183" t="inlineStr">
        <is>
          <t>Annual</t>
        </is>
      </c>
      <c r="H183" t="inlineStr">
        <is>
          <t>No</t>
        </is>
      </c>
      <c r="I183" t="inlineStr">
        <is>
          <t>-</t>
        </is>
      </c>
      <c r="J183" t="inlineStr">
        <is>
          <t>No</t>
        </is>
      </c>
      <c r="K183" t="n">
        <v>0</v>
      </c>
      <c r="L183" t="n">
        <v>0</v>
      </c>
      <c r="M183" t="n">
        <v>5</v>
      </c>
    </row>
    <row r="184">
      <c r="A184" t="n">
        <v>3413</v>
      </c>
      <c r="B184" t="inlineStr">
        <is>
          <t>Ulysses Farias</t>
        </is>
      </c>
      <c r="C184" t="inlineStr">
        <is>
          <t>Ultimate</t>
        </is>
      </c>
      <c r="D184" s="21" t="n">
        <v>45530</v>
      </c>
      <c r="E184" t="inlineStr">
        <is>
          <t>No</t>
        </is>
      </c>
      <c r="F184" t="n">
        <v>15</v>
      </c>
      <c r="G184" t="inlineStr">
        <is>
          <t>Quarterly</t>
        </is>
      </c>
      <c r="H184" t="inlineStr">
        <is>
          <t>Yes</t>
        </is>
      </c>
      <c r="I184" t="n">
        <v>30</v>
      </c>
      <c r="J184" t="inlineStr">
        <is>
          <t>Yes</t>
        </is>
      </c>
      <c r="K184" t="n">
        <v>20</v>
      </c>
      <c r="L184" t="n">
        <v>20</v>
      </c>
      <c r="M184" t="n">
        <v>45</v>
      </c>
    </row>
    <row r="185">
      <c r="A185" t="n">
        <v>3414</v>
      </c>
      <c r="B185" t="inlineStr">
        <is>
          <t>Vanessa Moreira</t>
        </is>
      </c>
      <c r="C185" t="inlineStr">
        <is>
          <t>Standard</t>
        </is>
      </c>
      <c r="D185" s="21" t="n">
        <v>45531</v>
      </c>
      <c r="E185" t="inlineStr">
        <is>
          <t>Yes</t>
        </is>
      </c>
      <c r="F185" t="n">
        <v>10</v>
      </c>
      <c r="G185" t="inlineStr">
        <is>
          <t>Quarterly</t>
        </is>
      </c>
      <c r="H185" t="inlineStr">
        <is>
          <t>No</t>
        </is>
      </c>
      <c r="I185" t="inlineStr">
        <is>
          <t>-</t>
        </is>
      </c>
      <c r="J185" t="inlineStr">
        <is>
          <t>Yes</t>
        </is>
      </c>
      <c r="K185" t="n">
        <v>20</v>
      </c>
      <c r="L185" t="n">
        <v>12</v>
      </c>
      <c r="M185" t="n">
        <v>18</v>
      </c>
    </row>
    <row r="186">
      <c r="A186" t="n">
        <v>3415</v>
      </c>
      <c r="B186" t="inlineStr">
        <is>
          <t>William Carvalho</t>
        </is>
      </c>
      <c r="C186" t="inlineStr">
        <is>
          <t>Core</t>
        </is>
      </c>
      <c r="D186" s="21" t="n">
        <v>45532</v>
      </c>
      <c r="E186" t="inlineStr">
        <is>
          <t>No</t>
        </is>
      </c>
      <c r="F186" t="n">
        <v>5</v>
      </c>
      <c r="G186" t="inlineStr">
        <is>
          <t>Monthly</t>
        </is>
      </c>
      <c r="H186" t="inlineStr">
        <is>
          <t>No</t>
        </is>
      </c>
      <c r="I186" t="inlineStr">
        <is>
          <t>-</t>
        </is>
      </c>
      <c r="J186" t="inlineStr">
        <is>
          <t>No</t>
        </is>
      </c>
      <c r="K186" t="n">
        <v>0</v>
      </c>
      <c r="L186" t="n">
        <v>2</v>
      </c>
      <c r="M186" t="n">
        <v>3</v>
      </c>
    </row>
    <row r="187">
      <c r="A187" t="n">
        <v>3416</v>
      </c>
      <c r="B187" t="inlineStr">
        <is>
          <t>Ximena Barros</t>
        </is>
      </c>
      <c r="C187" t="inlineStr">
        <is>
          <t>Ultimate</t>
        </is>
      </c>
      <c r="D187" s="21" t="n">
        <v>45533</v>
      </c>
      <c r="E187" t="inlineStr">
        <is>
          <t>Yes</t>
        </is>
      </c>
      <c r="F187" t="n">
        <v>15</v>
      </c>
      <c r="G187" t="inlineStr">
        <is>
          <t>Annual</t>
        </is>
      </c>
      <c r="H187" t="inlineStr">
        <is>
          <t>Yes</t>
        </is>
      </c>
      <c r="I187" t="n">
        <v>30</v>
      </c>
      <c r="J187" t="inlineStr">
        <is>
          <t>Yes</t>
        </is>
      </c>
      <c r="K187" t="n">
        <v>20</v>
      </c>
      <c r="L187" t="n">
        <v>5</v>
      </c>
      <c r="M187" t="n">
        <v>60</v>
      </c>
    </row>
    <row r="188">
      <c r="A188" t="n">
        <v>3417</v>
      </c>
      <c r="B188" t="inlineStr">
        <is>
          <t>Yara Machado</t>
        </is>
      </c>
      <c r="C188" t="inlineStr">
        <is>
          <t>Standard</t>
        </is>
      </c>
      <c r="D188" s="21" t="n">
        <v>45534</v>
      </c>
      <c r="E188" t="inlineStr">
        <is>
          <t>No</t>
        </is>
      </c>
      <c r="F188" t="n">
        <v>10</v>
      </c>
      <c r="G188" t="inlineStr">
        <is>
          <t>Monthly</t>
        </is>
      </c>
      <c r="H188" t="inlineStr">
        <is>
          <t>No</t>
        </is>
      </c>
      <c r="I188" t="inlineStr">
        <is>
          <t>-</t>
        </is>
      </c>
      <c r="J188" t="inlineStr">
        <is>
          <t>Yes</t>
        </is>
      </c>
      <c r="K188" t="n">
        <v>20</v>
      </c>
      <c r="L188" t="n">
        <v>10</v>
      </c>
      <c r="M188" t="n">
        <v>20</v>
      </c>
    </row>
    <row r="189">
      <c r="A189" t="n">
        <v>3418</v>
      </c>
      <c r="B189" t="inlineStr">
        <is>
          <t>Zacarias Costa</t>
        </is>
      </c>
      <c r="C189" t="inlineStr">
        <is>
          <t>Core</t>
        </is>
      </c>
      <c r="D189" s="21" t="n">
        <v>45535</v>
      </c>
      <c r="E189" t="inlineStr">
        <is>
          <t>Yes</t>
        </is>
      </c>
      <c r="F189" t="n">
        <v>5</v>
      </c>
      <c r="G189" t="inlineStr">
        <is>
          <t>Quarterly</t>
        </is>
      </c>
      <c r="H189" t="inlineStr">
        <is>
          <t>No</t>
        </is>
      </c>
      <c r="I189" t="inlineStr">
        <is>
          <t>-</t>
        </is>
      </c>
      <c r="J189" t="inlineStr">
        <is>
          <t>No</t>
        </is>
      </c>
      <c r="K189" t="n">
        <v>0</v>
      </c>
      <c r="L189" t="n">
        <v>0</v>
      </c>
      <c r="M189" t="n">
        <v>5</v>
      </c>
    </row>
    <row r="190">
      <c r="A190" t="n">
        <v>3419</v>
      </c>
      <c r="B190" t="inlineStr">
        <is>
          <t>André Lopes</t>
        </is>
      </c>
      <c r="C190" t="inlineStr">
        <is>
          <t>Ultimate</t>
        </is>
      </c>
      <c r="D190" s="21" t="n">
        <v>45536</v>
      </c>
      <c r="E190" t="inlineStr">
        <is>
          <t>No</t>
        </is>
      </c>
      <c r="F190" t="n">
        <v>15</v>
      </c>
      <c r="G190" t="inlineStr">
        <is>
          <t>Monthly</t>
        </is>
      </c>
      <c r="H190" t="inlineStr">
        <is>
          <t>Yes</t>
        </is>
      </c>
      <c r="I190" t="n">
        <v>30</v>
      </c>
      <c r="J190" t="inlineStr">
        <is>
          <t>Yes</t>
        </is>
      </c>
      <c r="K190" t="n">
        <v>20</v>
      </c>
      <c r="L190" t="n">
        <v>3</v>
      </c>
      <c r="M190" t="n">
        <v>62</v>
      </c>
    </row>
    <row r="191">
      <c r="A191" t="n">
        <v>3420</v>
      </c>
      <c r="B191" t="inlineStr">
        <is>
          <t>Beatriz Souza</t>
        </is>
      </c>
      <c r="C191" t="inlineStr">
        <is>
          <t>Standard</t>
        </is>
      </c>
      <c r="D191" s="21" t="n">
        <v>45537</v>
      </c>
      <c r="E191" t="inlineStr">
        <is>
          <t>Yes</t>
        </is>
      </c>
      <c r="F191" t="n">
        <v>10</v>
      </c>
      <c r="G191" t="inlineStr">
        <is>
          <t>Annual</t>
        </is>
      </c>
      <c r="H191" t="inlineStr">
        <is>
          <t>No</t>
        </is>
      </c>
      <c r="I191" t="inlineStr">
        <is>
          <t>-</t>
        </is>
      </c>
      <c r="J191" t="inlineStr">
        <is>
          <t>Yes</t>
        </is>
      </c>
      <c r="K191" t="n">
        <v>20</v>
      </c>
      <c r="L191" t="n">
        <v>15</v>
      </c>
      <c r="M191" t="n">
        <v>15</v>
      </c>
    </row>
    <row r="192">
      <c r="A192" t="n">
        <v>3421</v>
      </c>
      <c r="B192" t="inlineStr">
        <is>
          <t>Caio Pereira</t>
        </is>
      </c>
      <c r="C192" t="inlineStr">
        <is>
          <t>Core</t>
        </is>
      </c>
      <c r="D192" s="21" t="n">
        <v>45538</v>
      </c>
      <c r="E192" t="inlineStr">
        <is>
          <t>No</t>
        </is>
      </c>
      <c r="F192" t="n">
        <v>5</v>
      </c>
      <c r="G192" t="inlineStr">
        <is>
          <t>Monthly</t>
        </is>
      </c>
      <c r="H192" t="inlineStr">
        <is>
          <t>No</t>
        </is>
      </c>
      <c r="I192" t="inlineStr">
        <is>
          <t>-</t>
        </is>
      </c>
      <c r="J192" t="inlineStr">
        <is>
          <t>No</t>
        </is>
      </c>
      <c r="K192" t="n">
        <v>0</v>
      </c>
      <c r="L192" t="n">
        <v>1</v>
      </c>
      <c r="M192" t="n">
        <v>4</v>
      </c>
    </row>
    <row r="193">
      <c r="A193" t="n">
        <v>3422</v>
      </c>
      <c r="B193" t="inlineStr">
        <is>
          <t>Daniela Araújo</t>
        </is>
      </c>
      <c r="C193" t="inlineStr">
        <is>
          <t>Ultimate</t>
        </is>
      </c>
      <c r="D193" s="21" t="n">
        <v>45539</v>
      </c>
      <c r="E193" t="inlineStr">
        <is>
          <t>Yes</t>
        </is>
      </c>
      <c r="F193" t="n">
        <v>15</v>
      </c>
      <c r="G193" t="inlineStr">
        <is>
          <t>Quarterly</t>
        </is>
      </c>
      <c r="H193" t="inlineStr">
        <is>
          <t>Yes</t>
        </is>
      </c>
      <c r="I193" t="n">
        <v>30</v>
      </c>
      <c r="J193" t="inlineStr">
        <is>
          <t>Yes</t>
        </is>
      </c>
      <c r="K193" t="n">
        <v>20</v>
      </c>
      <c r="L193" t="n">
        <v>7</v>
      </c>
      <c r="M193" t="n">
        <v>58</v>
      </c>
    </row>
    <row r="194">
      <c r="A194" t="n">
        <v>3423</v>
      </c>
      <c r="B194" t="inlineStr">
        <is>
          <t>Eduardo Santos</t>
        </is>
      </c>
      <c r="C194" t="inlineStr">
        <is>
          <t>Standard</t>
        </is>
      </c>
      <c r="D194" s="21" t="n">
        <v>45540</v>
      </c>
      <c r="E194" t="inlineStr">
        <is>
          <t>No</t>
        </is>
      </c>
      <c r="F194" t="n">
        <v>10</v>
      </c>
      <c r="G194" t="inlineStr">
        <is>
          <t>Monthly</t>
        </is>
      </c>
      <c r="H194" t="inlineStr">
        <is>
          <t>No</t>
        </is>
      </c>
      <c r="I194" t="inlineStr">
        <is>
          <t>-</t>
        </is>
      </c>
      <c r="J194" t="inlineStr">
        <is>
          <t>Yes</t>
        </is>
      </c>
      <c r="K194" t="n">
        <v>20</v>
      </c>
      <c r="L194" t="n">
        <v>10</v>
      </c>
      <c r="M194" t="n">
        <v>20</v>
      </c>
    </row>
    <row r="195">
      <c r="A195" t="n">
        <v>3424</v>
      </c>
      <c r="B195" t="inlineStr">
        <is>
          <t>Fernanda Lima</t>
        </is>
      </c>
      <c r="C195" t="inlineStr">
        <is>
          <t>Core</t>
        </is>
      </c>
      <c r="D195" s="21" t="n">
        <v>45541</v>
      </c>
      <c r="E195" t="inlineStr">
        <is>
          <t>Yes</t>
        </is>
      </c>
      <c r="F195" t="n">
        <v>5</v>
      </c>
      <c r="G195" t="inlineStr">
        <is>
          <t>Annual</t>
        </is>
      </c>
      <c r="H195" t="inlineStr">
        <is>
          <t>No</t>
        </is>
      </c>
      <c r="I195" t="inlineStr">
        <is>
          <t>-</t>
        </is>
      </c>
      <c r="J195" t="inlineStr">
        <is>
          <t>No</t>
        </is>
      </c>
      <c r="K195" t="n">
        <v>0</v>
      </c>
      <c r="L195" t="n">
        <v>0</v>
      </c>
      <c r="M195" t="n">
        <v>5</v>
      </c>
    </row>
    <row r="196">
      <c r="A196" t="n">
        <v>3425</v>
      </c>
      <c r="B196" t="inlineStr">
        <is>
          <t>Gabriel Teixeira</t>
        </is>
      </c>
      <c r="C196" t="inlineStr">
        <is>
          <t>Ultimate</t>
        </is>
      </c>
      <c r="D196" s="21" t="n">
        <v>45542</v>
      </c>
      <c r="E196" t="inlineStr">
        <is>
          <t>No</t>
        </is>
      </c>
      <c r="F196" t="n">
        <v>15</v>
      </c>
      <c r="G196" t="inlineStr">
        <is>
          <t>Monthly</t>
        </is>
      </c>
      <c r="H196" t="inlineStr">
        <is>
          <t>Yes</t>
        </is>
      </c>
      <c r="I196" t="n">
        <v>30</v>
      </c>
      <c r="J196" t="inlineStr">
        <is>
          <t>Yes</t>
        </is>
      </c>
      <c r="K196" t="n">
        <v>20</v>
      </c>
      <c r="L196" t="n">
        <v>20</v>
      </c>
      <c r="M196" t="n">
        <v>45</v>
      </c>
    </row>
    <row r="197">
      <c r="A197" t="n">
        <v>3426</v>
      </c>
      <c r="B197" t="inlineStr">
        <is>
          <t>Helena Ribeiro</t>
        </is>
      </c>
      <c r="C197" t="inlineStr">
        <is>
          <t>Standard</t>
        </is>
      </c>
      <c r="D197" s="21" t="n">
        <v>45543</v>
      </c>
      <c r="E197" t="inlineStr">
        <is>
          <t>Yes</t>
        </is>
      </c>
      <c r="F197" t="n">
        <v>10</v>
      </c>
      <c r="G197" t="inlineStr">
        <is>
          <t>Quarterly</t>
        </is>
      </c>
      <c r="H197" t="inlineStr">
        <is>
          <t>No</t>
        </is>
      </c>
      <c r="I197" t="inlineStr">
        <is>
          <t>-</t>
        </is>
      </c>
      <c r="J197" t="inlineStr">
        <is>
          <t>Yes</t>
        </is>
      </c>
      <c r="K197" t="n">
        <v>20</v>
      </c>
      <c r="L197" t="n">
        <v>15</v>
      </c>
      <c r="M197" t="n">
        <v>15</v>
      </c>
    </row>
    <row r="198">
      <c r="A198" t="n">
        <v>3427</v>
      </c>
      <c r="B198" t="inlineStr">
        <is>
          <t>Igor Mendes</t>
        </is>
      </c>
      <c r="C198" t="inlineStr">
        <is>
          <t>Core</t>
        </is>
      </c>
      <c r="D198" s="21" t="n">
        <v>45544</v>
      </c>
      <c r="E198" t="inlineStr">
        <is>
          <t>No</t>
        </is>
      </c>
      <c r="F198" t="n">
        <v>5</v>
      </c>
      <c r="G198" t="inlineStr">
        <is>
          <t>Monthly</t>
        </is>
      </c>
      <c r="H198" t="inlineStr">
        <is>
          <t>No</t>
        </is>
      </c>
      <c r="I198" t="inlineStr">
        <is>
          <t>-</t>
        </is>
      </c>
      <c r="J198" t="inlineStr">
        <is>
          <t>No</t>
        </is>
      </c>
      <c r="K198" t="n">
        <v>0</v>
      </c>
      <c r="L198" t="n">
        <v>1</v>
      </c>
      <c r="M198" t="n">
        <v>4</v>
      </c>
    </row>
    <row r="199">
      <c r="A199" t="n">
        <v>3428</v>
      </c>
      <c r="B199" t="inlineStr">
        <is>
          <t>Joana Silveira</t>
        </is>
      </c>
      <c r="C199" t="inlineStr">
        <is>
          <t>Ultimate</t>
        </is>
      </c>
      <c r="D199" s="21" t="n">
        <v>45545</v>
      </c>
      <c r="E199" t="inlineStr">
        <is>
          <t>Yes</t>
        </is>
      </c>
      <c r="F199" t="n">
        <v>15</v>
      </c>
      <c r="G199" t="inlineStr">
        <is>
          <t>Annual</t>
        </is>
      </c>
      <c r="H199" t="inlineStr">
        <is>
          <t>Yes</t>
        </is>
      </c>
      <c r="I199" t="n">
        <v>30</v>
      </c>
      <c r="J199" t="inlineStr">
        <is>
          <t>Yes</t>
        </is>
      </c>
      <c r="K199" t="n">
        <v>20</v>
      </c>
      <c r="L199" t="n">
        <v>3</v>
      </c>
      <c r="M199" t="n">
        <v>62</v>
      </c>
    </row>
    <row r="200">
      <c r="A200" t="n">
        <v>3429</v>
      </c>
      <c r="B200" t="inlineStr">
        <is>
          <t>Lucas Martins</t>
        </is>
      </c>
      <c r="C200" t="inlineStr">
        <is>
          <t>Standard</t>
        </is>
      </c>
      <c r="D200" s="21" t="n">
        <v>45546</v>
      </c>
      <c r="E200" t="inlineStr">
        <is>
          <t>No</t>
        </is>
      </c>
      <c r="F200" t="n">
        <v>10</v>
      </c>
      <c r="G200" t="inlineStr">
        <is>
          <t>Monthly</t>
        </is>
      </c>
      <c r="H200" t="inlineStr">
        <is>
          <t>No</t>
        </is>
      </c>
      <c r="I200" t="inlineStr">
        <is>
          <t>-</t>
        </is>
      </c>
      <c r="J200" t="inlineStr">
        <is>
          <t>Yes</t>
        </is>
      </c>
      <c r="K200" t="n">
        <v>20</v>
      </c>
      <c r="L200" t="n">
        <v>10</v>
      </c>
      <c r="M200" t="n">
        <v>20</v>
      </c>
    </row>
    <row r="201">
      <c r="A201" t="n">
        <v>3430</v>
      </c>
      <c r="B201" t="inlineStr">
        <is>
          <t>Marcela Gouveia</t>
        </is>
      </c>
      <c r="C201" t="inlineStr">
        <is>
          <t>Core</t>
        </is>
      </c>
      <c r="D201" s="21" t="n">
        <v>45547</v>
      </c>
      <c r="E201" t="inlineStr">
        <is>
          <t>Yes</t>
        </is>
      </c>
      <c r="F201" t="n">
        <v>5</v>
      </c>
      <c r="G201" t="inlineStr">
        <is>
          <t>Quarterly</t>
        </is>
      </c>
      <c r="H201" t="inlineStr">
        <is>
          <t>No</t>
        </is>
      </c>
      <c r="I201" t="inlineStr">
        <is>
          <t>-</t>
        </is>
      </c>
      <c r="J201" t="inlineStr">
        <is>
          <t>No</t>
        </is>
      </c>
      <c r="K201" t="n">
        <v>0</v>
      </c>
      <c r="L201" t="n">
        <v>0</v>
      </c>
      <c r="M201" t="n">
        <v>5</v>
      </c>
    </row>
    <row r="202">
      <c r="A202" t="n">
        <v>3431</v>
      </c>
      <c r="B202" t="inlineStr">
        <is>
          <t>Nicolas Borges</t>
        </is>
      </c>
      <c r="C202" t="inlineStr">
        <is>
          <t>Ultimate</t>
        </is>
      </c>
      <c r="D202" s="21" t="n">
        <v>45548</v>
      </c>
      <c r="E202" t="inlineStr">
        <is>
          <t>No</t>
        </is>
      </c>
      <c r="F202" t="n">
        <v>15</v>
      </c>
      <c r="G202" t="inlineStr">
        <is>
          <t>Monthly</t>
        </is>
      </c>
      <c r="H202" t="inlineStr">
        <is>
          <t>Yes</t>
        </is>
      </c>
      <c r="I202" t="n">
        <v>30</v>
      </c>
      <c r="J202" t="inlineStr">
        <is>
          <t>Yes</t>
        </is>
      </c>
      <c r="K202" t="n">
        <v>20</v>
      </c>
      <c r="L202" t="n">
        <v>15</v>
      </c>
      <c r="M202" t="n">
        <v>50</v>
      </c>
    </row>
    <row r="203">
      <c r="A203" t="n">
        <v>3432</v>
      </c>
      <c r="B203" t="inlineStr">
        <is>
          <t>Olivia Freitas</t>
        </is>
      </c>
      <c r="C203" t="inlineStr">
        <is>
          <t>Standard</t>
        </is>
      </c>
      <c r="D203" s="21" t="n">
        <v>45549</v>
      </c>
      <c r="E203" t="inlineStr">
        <is>
          <t>Yes</t>
        </is>
      </c>
      <c r="F203" t="n">
        <v>10</v>
      </c>
      <c r="G203" t="inlineStr">
        <is>
          <t>Annual</t>
        </is>
      </c>
      <c r="H203" t="inlineStr">
        <is>
          <t>No</t>
        </is>
      </c>
      <c r="I203" t="inlineStr">
        <is>
          <t>-</t>
        </is>
      </c>
      <c r="J203" t="inlineStr">
        <is>
          <t>Yes</t>
        </is>
      </c>
      <c r="K203" t="n">
        <v>20</v>
      </c>
      <c r="L203" t="n">
        <v>15</v>
      </c>
      <c r="M203" t="n">
        <v>15</v>
      </c>
    </row>
    <row r="204">
      <c r="A204" t="n">
        <v>3433</v>
      </c>
      <c r="B204" t="inlineStr">
        <is>
          <t>Paulo Nogueira</t>
        </is>
      </c>
      <c r="C204" t="inlineStr">
        <is>
          <t>Core</t>
        </is>
      </c>
      <c r="D204" s="21" t="n">
        <v>45550</v>
      </c>
      <c r="E204" t="inlineStr">
        <is>
          <t>No</t>
        </is>
      </c>
      <c r="F204" t="n">
        <v>5</v>
      </c>
      <c r="G204" t="inlineStr">
        <is>
          <t>Monthly</t>
        </is>
      </c>
      <c r="H204" t="inlineStr">
        <is>
          <t>No</t>
        </is>
      </c>
      <c r="I204" t="inlineStr">
        <is>
          <t>-</t>
        </is>
      </c>
      <c r="J204" t="inlineStr">
        <is>
          <t>No</t>
        </is>
      </c>
      <c r="K204" t="n">
        <v>0</v>
      </c>
      <c r="L204" t="n">
        <v>1</v>
      </c>
      <c r="M204" t="n">
        <v>4</v>
      </c>
    </row>
    <row r="205">
      <c r="A205" t="n">
        <v>3434</v>
      </c>
      <c r="B205" t="inlineStr">
        <is>
          <t>Raquel Andrade</t>
        </is>
      </c>
      <c r="C205" t="inlineStr">
        <is>
          <t>Ultimate</t>
        </is>
      </c>
      <c r="D205" s="21" t="n">
        <v>45551</v>
      </c>
      <c r="E205" t="inlineStr">
        <is>
          <t>Yes</t>
        </is>
      </c>
      <c r="F205" t="n">
        <v>15</v>
      </c>
      <c r="G205" t="inlineStr">
        <is>
          <t>Quarterly</t>
        </is>
      </c>
      <c r="H205" t="inlineStr">
        <is>
          <t>Yes</t>
        </is>
      </c>
      <c r="I205" t="n">
        <v>30</v>
      </c>
      <c r="J205" t="inlineStr">
        <is>
          <t>Yes</t>
        </is>
      </c>
      <c r="K205" t="n">
        <v>20</v>
      </c>
      <c r="L205" t="n">
        <v>7</v>
      </c>
      <c r="M205" t="n">
        <v>58</v>
      </c>
    </row>
    <row r="206">
      <c r="A206" t="n">
        <v>3435</v>
      </c>
      <c r="B206" t="inlineStr">
        <is>
          <t>Sônia Carvalho</t>
        </is>
      </c>
      <c r="C206" t="inlineStr">
        <is>
          <t>Standard</t>
        </is>
      </c>
      <c r="D206" s="21" t="n">
        <v>45552</v>
      </c>
      <c r="E206" t="inlineStr">
        <is>
          <t>No</t>
        </is>
      </c>
      <c r="F206" t="n">
        <v>10</v>
      </c>
      <c r="G206" t="inlineStr">
        <is>
          <t>Monthly</t>
        </is>
      </c>
      <c r="H206" t="inlineStr">
        <is>
          <t>No</t>
        </is>
      </c>
      <c r="I206" t="inlineStr">
        <is>
          <t>-</t>
        </is>
      </c>
      <c r="J206" t="inlineStr">
        <is>
          <t>Yes</t>
        </is>
      </c>
      <c r="K206" t="n">
        <v>20</v>
      </c>
      <c r="L206" t="n">
        <v>10</v>
      </c>
      <c r="M206" t="n">
        <v>20</v>
      </c>
    </row>
    <row r="207">
      <c r="A207" t="n">
        <v>3436</v>
      </c>
      <c r="B207" t="inlineStr">
        <is>
          <t>Tiago Rodrigues</t>
        </is>
      </c>
      <c r="C207" t="inlineStr">
        <is>
          <t>Core</t>
        </is>
      </c>
      <c r="D207" s="21" t="n">
        <v>45553</v>
      </c>
      <c r="E207" t="inlineStr">
        <is>
          <t>Yes</t>
        </is>
      </c>
      <c r="F207" t="n">
        <v>5</v>
      </c>
      <c r="G207" t="inlineStr">
        <is>
          <t>Monthly</t>
        </is>
      </c>
      <c r="H207" t="inlineStr">
        <is>
          <t>No</t>
        </is>
      </c>
      <c r="I207" t="inlineStr">
        <is>
          <t>-</t>
        </is>
      </c>
      <c r="J207" t="inlineStr">
        <is>
          <t>No</t>
        </is>
      </c>
      <c r="K207" t="n">
        <v>0</v>
      </c>
      <c r="L207" t="n">
        <v>0</v>
      </c>
      <c r="M207" t="n">
        <v>5</v>
      </c>
    </row>
    <row r="208">
      <c r="A208" t="n">
        <v>3437</v>
      </c>
      <c r="B208" t="inlineStr">
        <is>
          <t>Ursula Monteiro</t>
        </is>
      </c>
      <c r="C208" t="inlineStr">
        <is>
          <t>Ultimate</t>
        </is>
      </c>
      <c r="D208" s="21" t="n">
        <v>45554</v>
      </c>
      <c r="E208" t="inlineStr">
        <is>
          <t>No</t>
        </is>
      </c>
      <c r="F208" t="n">
        <v>15</v>
      </c>
      <c r="G208" t="inlineStr">
        <is>
          <t>Quarterly</t>
        </is>
      </c>
      <c r="H208" t="inlineStr">
        <is>
          <t>Yes</t>
        </is>
      </c>
      <c r="I208" t="n">
        <v>30</v>
      </c>
      <c r="J208" t="inlineStr">
        <is>
          <t>Yes</t>
        </is>
      </c>
      <c r="K208" t="n">
        <v>20</v>
      </c>
      <c r="L208" t="n">
        <v>7</v>
      </c>
      <c r="M208" t="n">
        <v>58</v>
      </c>
    </row>
    <row r="209">
      <c r="A209" t="n">
        <v>3438</v>
      </c>
      <c r="B209" t="inlineStr">
        <is>
          <t>Vanessa Pereira</t>
        </is>
      </c>
      <c r="C209" t="inlineStr">
        <is>
          <t>Standard</t>
        </is>
      </c>
      <c r="D209" s="21" t="n">
        <v>45555</v>
      </c>
      <c r="E209" t="inlineStr">
        <is>
          <t>Yes</t>
        </is>
      </c>
      <c r="F209" t="n">
        <v>10</v>
      </c>
      <c r="G209" t="inlineStr">
        <is>
          <t>Annual</t>
        </is>
      </c>
      <c r="H209" t="inlineStr">
        <is>
          <t>No</t>
        </is>
      </c>
      <c r="I209" t="inlineStr">
        <is>
          <t>-</t>
        </is>
      </c>
      <c r="J209" t="inlineStr">
        <is>
          <t>Yes</t>
        </is>
      </c>
      <c r="K209" t="n">
        <v>20</v>
      </c>
      <c r="L209" t="n">
        <v>10</v>
      </c>
      <c r="M209" t="n">
        <v>20</v>
      </c>
    </row>
    <row r="210">
      <c r="A210" t="n">
        <v>3439</v>
      </c>
      <c r="B210" t="inlineStr">
        <is>
          <t>Walter Silva</t>
        </is>
      </c>
      <c r="C210" t="inlineStr">
        <is>
          <t>Core</t>
        </is>
      </c>
      <c r="D210" s="21" t="n">
        <v>45556</v>
      </c>
      <c r="E210" t="inlineStr">
        <is>
          <t>No</t>
        </is>
      </c>
      <c r="F210" t="n">
        <v>5</v>
      </c>
      <c r="G210" t="inlineStr">
        <is>
          <t>Quarterly</t>
        </is>
      </c>
      <c r="H210" t="inlineStr">
        <is>
          <t>No</t>
        </is>
      </c>
      <c r="I210" t="inlineStr">
        <is>
          <t>-</t>
        </is>
      </c>
      <c r="J210" t="inlineStr">
        <is>
          <t>No</t>
        </is>
      </c>
      <c r="K210" t="n">
        <v>0</v>
      </c>
      <c r="L210" t="n">
        <v>1</v>
      </c>
      <c r="M210" t="n">
        <v>4</v>
      </c>
    </row>
    <row r="211">
      <c r="A211" t="n">
        <v>3440</v>
      </c>
      <c r="B211" t="inlineStr">
        <is>
          <t>Xavier Almeida</t>
        </is>
      </c>
      <c r="C211" t="inlineStr">
        <is>
          <t>Ultimate</t>
        </is>
      </c>
      <c r="D211" s="21" t="n">
        <v>45557</v>
      </c>
      <c r="E211" t="inlineStr">
        <is>
          <t>Yes</t>
        </is>
      </c>
      <c r="F211" t="n">
        <v>15</v>
      </c>
      <c r="G211" t="inlineStr">
        <is>
          <t>Monthly</t>
        </is>
      </c>
      <c r="H211" t="inlineStr">
        <is>
          <t>Yes</t>
        </is>
      </c>
      <c r="I211" t="n">
        <v>30</v>
      </c>
      <c r="J211" t="inlineStr">
        <is>
          <t>Yes</t>
        </is>
      </c>
      <c r="K211" t="n">
        <v>20</v>
      </c>
      <c r="L211" t="n">
        <v>15</v>
      </c>
      <c r="M211" t="n">
        <v>50</v>
      </c>
    </row>
    <row r="212">
      <c r="A212" t="n">
        <v>3441</v>
      </c>
      <c r="B212" t="inlineStr">
        <is>
          <t>Yasmine Correia</t>
        </is>
      </c>
      <c r="C212" t="inlineStr">
        <is>
          <t>Standard</t>
        </is>
      </c>
      <c r="D212" s="21" t="n">
        <v>45558</v>
      </c>
      <c r="E212" t="inlineStr">
        <is>
          <t>No</t>
        </is>
      </c>
      <c r="F212" t="n">
        <v>10</v>
      </c>
      <c r="G212" t="inlineStr">
        <is>
          <t>Monthly</t>
        </is>
      </c>
      <c r="H212" t="inlineStr">
        <is>
          <t>No</t>
        </is>
      </c>
      <c r="I212" t="inlineStr">
        <is>
          <t>-</t>
        </is>
      </c>
      <c r="J212" t="inlineStr">
        <is>
          <t>Yes</t>
        </is>
      </c>
      <c r="K212" t="n">
        <v>20</v>
      </c>
      <c r="L212" t="n">
        <v>5</v>
      </c>
      <c r="M212" t="n">
        <v>25</v>
      </c>
    </row>
    <row r="213">
      <c r="A213" t="n">
        <v>3442</v>
      </c>
      <c r="B213" t="inlineStr">
        <is>
          <t>Zacarias Almeida</t>
        </is>
      </c>
      <c r="C213" t="inlineStr">
        <is>
          <t>Core</t>
        </is>
      </c>
      <c r="D213" s="21" t="n">
        <v>45559</v>
      </c>
      <c r="E213" t="inlineStr">
        <is>
          <t>Yes</t>
        </is>
      </c>
      <c r="F213" t="n">
        <v>5</v>
      </c>
      <c r="G213" t="inlineStr">
        <is>
          <t>Annual</t>
        </is>
      </c>
      <c r="H213" t="inlineStr">
        <is>
          <t>No</t>
        </is>
      </c>
      <c r="I213" t="inlineStr">
        <is>
          <t>-</t>
        </is>
      </c>
      <c r="J213" t="inlineStr">
        <is>
          <t>No</t>
        </is>
      </c>
      <c r="K213" t="n">
        <v>0</v>
      </c>
      <c r="L213" t="n">
        <v>0</v>
      </c>
      <c r="M213" t="n">
        <v>5</v>
      </c>
    </row>
    <row r="214">
      <c r="A214" t="n">
        <v>3443</v>
      </c>
      <c r="B214" t="inlineStr">
        <is>
          <t>Amanda Costa</t>
        </is>
      </c>
      <c r="C214" t="inlineStr">
        <is>
          <t>Ultimate</t>
        </is>
      </c>
      <c r="D214" s="21" t="n">
        <v>45560</v>
      </c>
      <c r="E214" t="inlineStr">
        <is>
          <t>No</t>
        </is>
      </c>
      <c r="F214" t="n">
        <v>15</v>
      </c>
      <c r="G214" t="inlineStr">
        <is>
          <t>Quarterly</t>
        </is>
      </c>
      <c r="H214" t="inlineStr">
        <is>
          <t>Yes</t>
        </is>
      </c>
      <c r="I214" t="n">
        <v>30</v>
      </c>
      <c r="J214" t="inlineStr">
        <is>
          <t>Yes</t>
        </is>
      </c>
      <c r="K214" t="n">
        <v>20</v>
      </c>
      <c r="L214" t="n">
        <v>20</v>
      </c>
      <c r="M214" t="n">
        <v>45</v>
      </c>
    </row>
    <row r="215">
      <c r="A215" t="n">
        <v>3444</v>
      </c>
      <c r="B215" t="inlineStr">
        <is>
          <t>Bruno Ferreira</t>
        </is>
      </c>
      <c r="C215" t="inlineStr">
        <is>
          <t>Standard</t>
        </is>
      </c>
      <c r="D215" s="21" t="n">
        <v>45561</v>
      </c>
      <c r="E215" t="inlineStr">
        <is>
          <t>Yes</t>
        </is>
      </c>
      <c r="F215" t="n">
        <v>10</v>
      </c>
      <c r="G215" t="inlineStr">
        <is>
          <t>Quarterly</t>
        </is>
      </c>
      <c r="H215" t="inlineStr">
        <is>
          <t>No</t>
        </is>
      </c>
      <c r="I215" t="inlineStr">
        <is>
          <t>-</t>
        </is>
      </c>
      <c r="J215" t="inlineStr">
        <is>
          <t>Yes</t>
        </is>
      </c>
      <c r="K215" t="n">
        <v>20</v>
      </c>
      <c r="L215" t="n">
        <v>12</v>
      </c>
      <c r="M215" t="n">
        <v>18</v>
      </c>
    </row>
    <row r="216">
      <c r="A216" t="n">
        <v>3445</v>
      </c>
      <c r="B216" t="inlineStr">
        <is>
          <t>Carla Dias</t>
        </is>
      </c>
      <c r="C216" t="inlineStr">
        <is>
          <t>Core</t>
        </is>
      </c>
      <c r="D216" s="21" t="n">
        <v>45562</v>
      </c>
      <c r="E216" t="inlineStr">
        <is>
          <t>No</t>
        </is>
      </c>
      <c r="F216" t="n">
        <v>5</v>
      </c>
      <c r="G216" t="inlineStr">
        <is>
          <t>Monthly</t>
        </is>
      </c>
      <c r="H216" t="inlineStr">
        <is>
          <t>No</t>
        </is>
      </c>
      <c r="I216" t="inlineStr">
        <is>
          <t>-</t>
        </is>
      </c>
      <c r="J216" t="inlineStr">
        <is>
          <t>No</t>
        </is>
      </c>
      <c r="K216" t="n">
        <v>0</v>
      </c>
      <c r="L216" t="n">
        <v>2</v>
      </c>
      <c r="M216" t="n">
        <v>3</v>
      </c>
    </row>
    <row r="217">
      <c r="A217" t="n">
        <v>3446</v>
      </c>
      <c r="B217" t="inlineStr">
        <is>
          <t>Diogo Martins</t>
        </is>
      </c>
      <c r="C217" t="inlineStr">
        <is>
          <t>Ultimate</t>
        </is>
      </c>
      <c r="D217" s="21" t="n">
        <v>45563</v>
      </c>
      <c r="E217" t="inlineStr">
        <is>
          <t>Yes</t>
        </is>
      </c>
      <c r="F217" t="n">
        <v>15</v>
      </c>
      <c r="G217" t="inlineStr">
        <is>
          <t>Annual</t>
        </is>
      </c>
      <c r="H217" t="inlineStr">
        <is>
          <t>Yes</t>
        </is>
      </c>
      <c r="I217" t="n">
        <v>30</v>
      </c>
      <c r="J217" t="inlineStr">
        <is>
          <t>Yes</t>
        </is>
      </c>
      <c r="K217" t="n">
        <v>20</v>
      </c>
      <c r="L217" t="n">
        <v>5</v>
      </c>
      <c r="M217" t="n">
        <v>60</v>
      </c>
    </row>
    <row r="218">
      <c r="A218" t="n">
        <v>3447</v>
      </c>
      <c r="B218" t="inlineStr">
        <is>
          <t>Elisa Campos</t>
        </is>
      </c>
      <c r="C218" t="inlineStr">
        <is>
          <t>Standard</t>
        </is>
      </c>
      <c r="D218" s="21" t="n">
        <v>45564</v>
      </c>
      <c r="E218" t="inlineStr">
        <is>
          <t>No</t>
        </is>
      </c>
      <c r="F218" t="n">
        <v>10</v>
      </c>
      <c r="G218" t="inlineStr">
        <is>
          <t>Monthly</t>
        </is>
      </c>
      <c r="H218" t="inlineStr">
        <is>
          <t>No</t>
        </is>
      </c>
      <c r="I218" t="inlineStr">
        <is>
          <t>-</t>
        </is>
      </c>
      <c r="J218" t="inlineStr">
        <is>
          <t>Yes</t>
        </is>
      </c>
      <c r="K218" t="n">
        <v>20</v>
      </c>
      <c r="L218" t="n">
        <v>10</v>
      </c>
      <c r="M218" t="n">
        <v>20</v>
      </c>
    </row>
    <row r="219">
      <c r="A219" t="n">
        <v>3448</v>
      </c>
      <c r="B219" t="inlineStr">
        <is>
          <t>Fabiana Lima</t>
        </is>
      </c>
      <c r="C219" t="inlineStr">
        <is>
          <t>Core</t>
        </is>
      </c>
      <c r="D219" s="21" t="n">
        <v>45565</v>
      </c>
      <c r="E219" t="inlineStr">
        <is>
          <t>Yes</t>
        </is>
      </c>
      <c r="F219" t="n">
        <v>5</v>
      </c>
      <c r="G219" t="inlineStr">
        <is>
          <t>Quarterly</t>
        </is>
      </c>
      <c r="H219" t="inlineStr">
        <is>
          <t>No</t>
        </is>
      </c>
      <c r="I219" t="inlineStr">
        <is>
          <t>-</t>
        </is>
      </c>
      <c r="J219" t="inlineStr">
        <is>
          <t>No</t>
        </is>
      </c>
      <c r="K219" t="n">
        <v>0</v>
      </c>
      <c r="L219" t="n">
        <v>0</v>
      </c>
      <c r="M219" t="n">
        <v>5</v>
      </c>
    </row>
    <row r="220">
      <c r="A220" t="n">
        <v>3449</v>
      </c>
      <c r="B220" t="inlineStr">
        <is>
          <t>Gabriel Santos</t>
        </is>
      </c>
      <c r="C220" t="inlineStr">
        <is>
          <t>Ultimate</t>
        </is>
      </c>
      <c r="D220" s="21" t="n">
        <v>45566</v>
      </c>
      <c r="E220" t="inlineStr">
        <is>
          <t>No</t>
        </is>
      </c>
      <c r="F220" t="n">
        <v>15</v>
      </c>
      <c r="G220" t="inlineStr">
        <is>
          <t>Monthly</t>
        </is>
      </c>
      <c r="H220" t="inlineStr">
        <is>
          <t>Yes</t>
        </is>
      </c>
      <c r="I220" t="n">
        <v>30</v>
      </c>
      <c r="J220" t="inlineStr">
        <is>
          <t>Yes</t>
        </is>
      </c>
      <c r="K220" t="n">
        <v>20</v>
      </c>
      <c r="L220" t="n">
        <v>3</v>
      </c>
      <c r="M220" t="n">
        <v>62</v>
      </c>
    </row>
    <row r="221">
      <c r="A221" t="n">
        <v>3450</v>
      </c>
      <c r="B221" t="inlineStr">
        <is>
          <t>Helena Ferreira</t>
        </is>
      </c>
      <c r="C221" t="inlineStr">
        <is>
          <t>Standard</t>
        </is>
      </c>
      <c r="D221" s="21" t="n">
        <v>45567</v>
      </c>
      <c r="E221" t="inlineStr">
        <is>
          <t>Yes</t>
        </is>
      </c>
      <c r="F221" t="n">
        <v>10</v>
      </c>
      <c r="G221" t="inlineStr">
        <is>
          <t>Annual</t>
        </is>
      </c>
      <c r="H221" t="inlineStr">
        <is>
          <t>No</t>
        </is>
      </c>
      <c r="I221" t="inlineStr">
        <is>
          <t>-</t>
        </is>
      </c>
      <c r="J221" t="inlineStr">
        <is>
          <t>Yes</t>
        </is>
      </c>
      <c r="K221" t="n">
        <v>20</v>
      </c>
      <c r="L221" t="n">
        <v>15</v>
      </c>
      <c r="M221" t="n">
        <v>15</v>
      </c>
    </row>
    <row r="222">
      <c r="A222" t="n">
        <v>3451</v>
      </c>
      <c r="B222" t="inlineStr">
        <is>
          <t>Ígor Nunes</t>
        </is>
      </c>
      <c r="C222" t="inlineStr">
        <is>
          <t>Core</t>
        </is>
      </c>
      <c r="D222" s="21" t="n">
        <v>45568</v>
      </c>
      <c r="E222" t="inlineStr">
        <is>
          <t>No</t>
        </is>
      </c>
      <c r="F222" t="n">
        <v>5</v>
      </c>
      <c r="G222" t="inlineStr">
        <is>
          <t>Monthly</t>
        </is>
      </c>
      <c r="H222" t="inlineStr">
        <is>
          <t>No</t>
        </is>
      </c>
      <c r="I222" t="inlineStr">
        <is>
          <t>-</t>
        </is>
      </c>
      <c r="J222" t="inlineStr">
        <is>
          <t>No</t>
        </is>
      </c>
      <c r="K222" t="n">
        <v>0</v>
      </c>
      <c r="L222" t="n">
        <v>1</v>
      </c>
      <c r="M222" t="n">
        <v>4</v>
      </c>
    </row>
    <row r="223">
      <c r="A223" t="n">
        <v>3452</v>
      </c>
      <c r="B223" t="inlineStr">
        <is>
          <t>Joana Silveira</t>
        </is>
      </c>
      <c r="C223" t="inlineStr">
        <is>
          <t>Ultimate</t>
        </is>
      </c>
      <c r="D223" s="21" t="n">
        <v>45569</v>
      </c>
      <c r="E223" t="inlineStr">
        <is>
          <t>Yes</t>
        </is>
      </c>
      <c r="F223" t="n">
        <v>15</v>
      </c>
      <c r="G223" t="inlineStr">
        <is>
          <t>Quarterly</t>
        </is>
      </c>
      <c r="H223" t="inlineStr">
        <is>
          <t>Yes</t>
        </is>
      </c>
      <c r="I223" t="n">
        <v>30</v>
      </c>
      <c r="J223" t="inlineStr">
        <is>
          <t>Yes</t>
        </is>
      </c>
      <c r="K223" t="n">
        <v>20</v>
      </c>
      <c r="L223" t="n">
        <v>7</v>
      </c>
      <c r="M223" t="n">
        <v>58</v>
      </c>
    </row>
    <row r="224">
      <c r="A224" t="n">
        <v>3453</v>
      </c>
      <c r="B224" t="inlineStr">
        <is>
          <t>Kléber Oliveira</t>
        </is>
      </c>
      <c r="C224" t="inlineStr">
        <is>
          <t>Standard</t>
        </is>
      </c>
      <c r="D224" s="21" t="n">
        <v>45570</v>
      </c>
      <c r="E224" t="inlineStr">
        <is>
          <t>No</t>
        </is>
      </c>
      <c r="F224" t="n">
        <v>10</v>
      </c>
      <c r="G224" t="inlineStr">
        <is>
          <t>Monthly</t>
        </is>
      </c>
      <c r="H224" t="inlineStr">
        <is>
          <t>No</t>
        </is>
      </c>
      <c r="I224" t="inlineStr">
        <is>
          <t>-</t>
        </is>
      </c>
      <c r="J224" t="inlineStr">
        <is>
          <t>Yes</t>
        </is>
      </c>
      <c r="K224" t="n">
        <v>20</v>
      </c>
      <c r="L224" t="n">
        <v>10</v>
      </c>
      <c r="M224" t="n">
        <v>20</v>
      </c>
    </row>
    <row r="225">
      <c r="A225" t="n">
        <v>3454</v>
      </c>
      <c r="B225" t="inlineStr">
        <is>
          <t>Luciana Morais</t>
        </is>
      </c>
      <c r="C225" t="inlineStr">
        <is>
          <t>Core</t>
        </is>
      </c>
      <c r="D225" s="21" t="n">
        <v>45571</v>
      </c>
      <c r="E225" t="inlineStr">
        <is>
          <t>Yes</t>
        </is>
      </c>
      <c r="F225" t="n">
        <v>5</v>
      </c>
      <c r="G225" t="inlineStr">
        <is>
          <t>Annual</t>
        </is>
      </c>
      <c r="H225" t="inlineStr">
        <is>
          <t>No</t>
        </is>
      </c>
      <c r="I225" t="inlineStr">
        <is>
          <t>-</t>
        </is>
      </c>
      <c r="J225" t="inlineStr">
        <is>
          <t>No</t>
        </is>
      </c>
      <c r="K225" t="n">
        <v>0</v>
      </c>
      <c r="L225" t="n">
        <v>0</v>
      </c>
      <c r="M225" t="n">
        <v>5</v>
      </c>
    </row>
    <row r="226">
      <c r="A226" t="n">
        <v>3455</v>
      </c>
      <c r="B226" t="inlineStr">
        <is>
          <t>Marcos Vinícius</t>
        </is>
      </c>
      <c r="C226" t="inlineStr">
        <is>
          <t>Ultimate</t>
        </is>
      </c>
      <c r="D226" s="21" t="n">
        <v>45572</v>
      </c>
      <c r="E226" t="inlineStr">
        <is>
          <t>No</t>
        </is>
      </c>
      <c r="F226" t="n">
        <v>15</v>
      </c>
      <c r="G226" t="inlineStr">
        <is>
          <t>Monthly</t>
        </is>
      </c>
      <c r="H226" t="inlineStr">
        <is>
          <t>Yes</t>
        </is>
      </c>
      <c r="I226" t="n">
        <v>30</v>
      </c>
      <c r="J226" t="inlineStr">
        <is>
          <t>Yes</t>
        </is>
      </c>
      <c r="K226" t="n">
        <v>20</v>
      </c>
      <c r="L226" t="n">
        <v>20</v>
      </c>
      <c r="M226" t="n">
        <v>45</v>
      </c>
    </row>
    <row r="227">
      <c r="A227" t="n">
        <v>3456</v>
      </c>
      <c r="B227" t="inlineStr">
        <is>
          <t>Natália Barros</t>
        </is>
      </c>
      <c r="C227" t="inlineStr">
        <is>
          <t>Standard</t>
        </is>
      </c>
      <c r="D227" s="21" t="n">
        <v>45573</v>
      </c>
      <c r="E227" t="inlineStr">
        <is>
          <t>Yes</t>
        </is>
      </c>
      <c r="F227" t="n">
        <v>10</v>
      </c>
      <c r="G227" t="inlineStr">
        <is>
          <t>Quarterly</t>
        </is>
      </c>
      <c r="H227" t="inlineStr">
        <is>
          <t>No</t>
        </is>
      </c>
      <c r="I227" t="inlineStr">
        <is>
          <t>-</t>
        </is>
      </c>
      <c r="J227" t="inlineStr">
        <is>
          <t>Yes</t>
        </is>
      </c>
      <c r="K227" t="n">
        <v>20</v>
      </c>
      <c r="L227" t="n">
        <v>15</v>
      </c>
      <c r="M227" t="n">
        <v>15</v>
      </c>
    </row>
    <row r="228">
      <c r="A228" t="n">
        <v>3457</v>
      </c>
      <c r="B228" t="inlineStr">
        <is>
          <t>Oscar Sampaio</t>
        </is>
      </c>
      <c r="C228" t="inlineStr">
        <is>
          <t>Core</t>
        </is>
      </c>
      <c r="D228" s="21" t="n">
        <v>45574</v>
      </c>
      <c r="E228" t="inlineStr">
        <is>
          <t>No</t>
        </is>
      </c>
      <c r="F228" t="n">
        <v>5</v>
      </c>
      <c r="G228" t="inlineStr">
        <is>
          <t>Monthly</t>
        </is>
      </c>
      <c r="H228" t="inlineStr">
        <is>
          <t>No</t>
        </is>
      </c>
      <c r="I228" t="inlineStr">
        <is>
          <t>-</t>
        </is>
      </c>
      <c r="J228" t="inlineStr">
        <is>
          <t>No</t>
        </is>
      </c>
      <c r="K228" t="n">
        <v>0</v>
      </c>
      <c r="L228" t="n">
        <v>1</v>
      </c>
      <c r="M228" t="n">
        <v>4</v>
      </c>
    </row>
    <row r="229">
      <c r="A229" t="n">
        <v>3458</v>
      </c>
      <c r="B229" t="inlineStr">
        <is>
          <t>Patrícia Leite</t>
        </is>
      </c>
      <c r="C229" t="inlineStr">
        <is>
          <t>Ultimate</t>
        </is>
      </c>
      <c r="D229" s="21" t="n">
        <v>45575</v>
      </c>
      <c r="E229" t="inlineStr">
        <is>
          <t>Yes</t>
        </is>
      </c>
      <c r="F229" t="n">
        <v>15</v>
      </c>
      <c r="G229" t="inlineStr">
        <is>
          <t>Annual</t>
        </is>
      </c>
      <c r="H229" t="inlineStr">
        <is>
          <t>Yes</t>
        </is>
      </c>
      <c r="I229" t="n">
        <v>30</v>
      </c>
      <c r="J229" t="inlineStr">
        <is>
          <t>Yes</t>
        </is>
      </c>
      <c r="K229" t="n">
        <v>20</v>
      </c>
      <c r="L229" t="n">
        <v>3</v>
      </c>
      <c r="M229" t="n">
        <v>62</v>
      </c>
    </row>
    <row r="230">
      <c r="A230" t="n">
        <v>3459</v>
      </c>
      <c r="B230" t="inlineStr">
        <is>
          <t>Quênia Rocha</t>
        </is>
      </c>
      <c r="C230" t="inlineStr">
        <is>
          <t>Standard</t>
        </is>
      </c>
      <c r="D230" s="21" t="n">
        <v>45576</v>
      </c>
      <c r="E230" t="inlineStr">
        <is>
          <t>No</t>
        </is>
      </c>
      <c r="F230" t="n">
        <v>10</v>
      </c>
      <c r="G230" t="inlineStr">
        <is>
          <t>Monthly</t>
        </is>
      </c>
      <c r="H230" t="inlineStr">
        <is>
          <t>No</t>
        </is>
      </c>
      <c r="I230" t="inlineStr">
        <is>
          <t>-</t>
        </is>
      </c>
      <c r="J230" t="inlineStr">
        <is>
          <t>Yes</t>
        </is>
      </c>
      <c r="K230" t="n">
        <v>20</v>
      </c>
      <c r="L230" t="n">
        <v>10</v>
      </c>
      <c r="M230" t="n">
        <v>20</v>
      </c>
    </row>
    <row r="231">
      <c r="A231" t="n">
        <v>3460</v>
      </c>
      <c r="B231" t="inlineStr">
        <is>
          <t>Rafael Torres</t>
        </is>
      </c>
      <c r="C231" t="inlineStr">
        <is>
          <t>Core</t>
        </is>
      </c>
      <c r="D231" s="21" t="n">
        <v>45577</v>
      </c>
      <c r="E231" t="inlineStr">
        <is>
          <t>Yes</t>
        </is>
      </c>
      <c r="F231" t="n">
        <v>5</v>
      </c>
      <c r="G231" t="inlineStr">
        <is>
          <t>Quarterly</t>
        </is>
      </c>
      <c r="H231" t="inlineStr">
        <is>
          <t>No</t>
        </is>
      </c>
      <c r="I231" t="inlineStr">
        <is>
          <t>-</t>
        </is>
      </c>
      <c r="J231" t="inlineStr">
        <is>
          <t>No</t>
        </is>
      </c>
      <c r="K231" t="n">
        <v>0</v>
      </c>
      <c r="L231" t="n">
        <v>0</v>
      </c>
      <c r="M231" t="n">
        <v>5</v>
      </c>
    </row>
    <row r="232">
      <c r="A232" t="n">
        <v>3461</v>
      </c>
      <c r="B232" t="inlineStr">
        <is>
          <t>Sandra Gouveia</t>
        </is>
      </c>
      <c r="C232" t="inlineStr">
        <is>
          <t>Ultimate</t>
        </is>
      </c>
      <c r="D232" s="21" t="n">
        <v>45578</v>
      </c>
      <c r="E232" t="inlineStr">
        <is>
          <t>No</t>
        </is>
      </c>
      <c r="F232" t="n">
        <v>15</v>
      </c>
      <c r="G232" t="inlineStr">
        <is>
          <t>Monthly</t>
        </is>
      </c>
      <c r="H232" t="inlineStr">
        <is>
          <t>Yes</t>
        </is>
      </c>
      <c r="I232" t="n">
        <v>30</v>
      </c>
      <c r="J232" t="inlineStr">
        <is>
          <t>Yes</t>
        </is>
      </c>
      <c r="K232" t="n">
        <v>20</v>
      </c>
      <c r="L232" t="n">
        <v>15</v>
      </c>
      <c r="M232" t="n">
        <v>50</v>
      </c>
    </row>
    <row r="233">
      <c r="A233" t="n">
        <v>3462</v>
      </c>
      <c r="B233" t="inlineStr">
        <is>
          <t>Tiago Lacerda</t>
        </is>
      </c>
      <c r="C233" t="inlineStr">
        <is>
          <t>Standard</t>
        </is>
      </c>
      <c r="D233" s="21" t="n">
        <v>45579</v>
      </c>
      <c r="E233" t="inlineStr">
        <is>
          <t>Yes</t>
        </is>
      </c>
      <c r="F233" t="n">
        <v>10</v>
      </c>
      <c r="G233" t="inlineStr">
        <is>
          <t>Annual</t>
        </is>
      </c>
      <c r="H233" t="inlineStr">
        <is>
          <t>No</t>
        </is>
      </c>
      <c r="I233" t="inlineStr">
        <is>
          <t>-</t>
        </is>
      </c>
      <c r="J233" t="inlineStr">
        <is>
          <t>Yes</t>
        </is>
      </c>
      <c r="K233" t="n">
        <v>20</v>
      </c>
      <c r="L233" t="n">
        <v>15</v>
      </c>
      <c r="M233" t="n">
        <v>15</v>
      </c>
    </row>
    <row r="234">
      <c r="A234" t="n">
        <v>3463</v>
      </c>
      <c r="B234" t="inlineStr">
        <is>
          <t>Ursula Fonseca</t>
        </is>
      </c>
      <c r="C234" t="inlineStr">
        <is>
          <t>Core</t>
        </is>
      </c>
      <c r="D234" s="21" t="n">
        <v>45580</v>
      </c>
      <c r="E234" t="inlineStr">
        <is>
          <t>No</t>
        </is>
      </c>
      <c r="F234" t="n">
        <v>5</v>
      </c>
      <c r="G234" t="inlineStr">
        <is>
          <t>Monthly</t>
        </is>
      </c>
      <c r="H234" t="inlineStr">
        <is>
          <t>No</t>
        </is>
      </c>
      <c r="I234" t="inlineStr">
        <is>
          <t>-</t>
        </is>
      </c>
      <c r="J234" t="inlineStr">
        <is>
          <t>No</t>
        </is>
      </c>
      <c r="K234" t="n">
        <v>0</v>
      </c>
      <c r="L234" t="n">
        <v>1</v>
      </c>
      <c r="M234" t="n">
        <v>4</v>
      </c>
    </row>
    <row r="235">
      <c r="A235" t="n">
        <v>3464</v>
      </c>
      <c r="B235" t="inlineStr">
        <is>
          <t>Vanessa Andrade</t>
        </is>
      </c>
      <c r="C235" t="inlineStr">
        <is>
          <t>Ultimate</t>
        </is>
      </c>
      <c r="D235" s="21" t="n">
        <v>45581</v>
      </c>
      <c r="E235" t="inlineStr">
        <is>
          <t>Yes</t>
        </is>
      </c>
      <c r="F235" t="n">
        <v>15</v>
      </c>
      <c r="G235" t="inlineStr">
        <is>
          <t>Quarterly</t>
        </is>
      </c>
      <c r="H235" t="inlineStr">
        <is>
          <t>Yes</t>
        </is>
      </c>
      <c r="I235" t="n">
        <v>30</v>
      </c>
      <c r="J235" t="inlineStr">
        <is>
          <t>Yes</t>
        </is>
      </c>
      <c r="K235" t="n">
        <v>20</v>
      </c>
      <c r="L235" t="n">
        <v>7</v>
      </c>
      <c r="M235" t="n">
        <v>58</v>
      </c>
    </row>
    <row r="236">
      <c r="A236" t="n">
        <v>3465</v>
      </c>
      <c r="B236" t="inlineStr">
        <is>
          <t>William Castro</t>
        </is>
      </c>
      <c r="C236" t="inlineStr">
        <is>
          <t>Standard</t>
        </is>
      </c>
      <c r="D236" s="21" t="n">
        <v>45582</v>
      </c>
      <c r="E236" t="inlineStr">
        <is>
          <t>No</t>
        </is>
      </c>
      <c r="F236" t="n">
        <v>10</v>
      </c>
      <c r="G236" t="inlineStr">
        <is>
          <t>Monthly</t>
        </is>
      </c>
      <c r="H236" t="inlineStr">
        <is>
          <t>No</t>
        </is>
      </c>
      <c r="I236" t="inlineStr">
        <is>
          <t>-</t>
        </is>
      </c>
      <c r="J236" t="inlineStr">
        <is>
          <t>Yes</t>
        </is>
      </c>
      <c r="K236" t="n">
        <v>20</v>
      </c>
      <c r="L236" t="n">
        <v>10</v>
      </c>
      <c r="M236" t="n">
        <v>20</v>
      </c>
    </row>
    <row r="237">
      <c r="A237" t="n">
        <v>3466</v>
      </c>
      <c r="B237" t="inlineStr">
        <is>
          <t>Xavier Monteiro</t>
        </is>
      </c>
      <c r="C237" t="inlineStr">
        <is>
          <t>Core</t>
        </is>
      </c>
      <c r="D237" s="21" t="n">
        <v>45583</v>
      </c>
      <c r="E237" t="inlineStr">
        <is>
          <t>Yes</t>
        </is>
      </c>
      <c r="F237" t="n">
        <v>5</v>
      </c>
      <c r="G237" t="inlineStr">
        <is>
          <t>Annual</t>
        </is>
      </c>
      <c r="H237" t="inlineStr">
        <is>
          <t>No</t>
        </is>
      </c>
      <c r="I237" t="inlineStr">
        <is>
          <t>-</t>
        </is>
      </c>
      <c r="J237" t="inlineStr">
        <is>
          <t>No</t>
        </is>
      </c>
      <c r="K237" t="n">
        <v>0</v>
      </c>
      <c r="L237" t="n">
        <v>0</v>
      </c>
      <c r="M237" t="n">
        <v>5</v>
      </c>
    </row>
    <row r="238">
      <c r="A238" t="n">
        <v>3467</v>
      </c>
      <c r="B238" t="inlineStr">
        <is>
          <t>Yasmin Figueira</t>
        </is>
      </c>
      <c r="C238" t="inlineStr">
        <is>
          <t>Ultimate</t>
        </is>
      </c>
      <c r="D238" s="21" t="n">
        <v>45584</v>
      </c>
      <c r="E238" t="inlineStr">
        <is>
          <t>No</t>
        </is>
      </c>
      <c r="F238" t="n">
        <v>15</v>
      </c>
      <c r="G238" t="inlineStr">
        <is>
          <t>Monthly</t>
        </is>
      </c>
      <c r="H238" t="inlineStr">
        <is>
          <t>Yes</t>
        </is>
      </c>
      <c r="I238" t="n">
        <v>30</v>
      </c>
      <c r="J238" t="inlineStr">
        <is>
          <t>Yes</t>
        </is>
      </c>
      <c r="K238" t="n">
        <v>20</v>
      </c>
      <c r="L238" t="n">
        <v>15</v>
      </c>
      <c r="M238" t="n">
        <v>50</v>
      </c>
    </row>
    <row r="239">
      <c r="A239" t="n">
        <v>3468</v>
      </c>
      <c r="B239" t="inlineStr">
        <is>
          <t>Zacarias Mendonça</t>
        </is>
      </c>
      <c r="C239" t="inlineStr">
        <is>
          <t>Standard</t>
        </is>
      </c>
      <c r="D239" s="21" t="n">
        <v>45585</v>
      </c>
      <c r="E239" t="inlineStr">
        <is>
          <t>Yes</t>
        </is>
      </c>
      <c r="F239" t="n">
        <v>10</v>
      </c>
      <c r="G239" t="inlineStr">
        <is>
          <t>Quarterly</t>
        </is>
      </c>
      <c r="H239" t="inlineStr">
        <is>
          <t>No</t>
        </is>
      </c>
      <c r="I239" t="inlineStr">
        <is>
          <t>-</t>
        </is>
      </c>
      <c r="J239" t="inlineStr">
        <is>
          <t>Yes</t>
        </is>
      </c>
      <c r="K239" t="n">
        <v>20</v>
      </c>
      <c r="L239" t="n">
        <v>12</v>
      </c>
      <c r="M239" t="n">
        <v>18</v>
      </c>
    </row>
    <row r="240">
      <c r="A240" t="n">
        <v>3469</v>
      </c>
      <c r="B240" t="inlineStr">
        <is>
          <t>Amanda Menezes</t>
        </is>
      </c>
      <c r="C240" t="inlineStr">
        <is>
          <t>Core</t>
        </is>
      </c>
      <c r="D240" s="21" t="n">
        <v>45586</v>
      </c>
      <c r="E240" t="inlineStr">
        <is>
          <t>No</t>
        </is>
      </c>
      <c r="F240" t="n">
        <v>5</v>
      </c>
      <c r="G240" t="inlineStr">
        <is>
          <t>Monthly</t>
        </is>
      </c>
      <c r="H240" t="inlineStr">
        <is>
          <t>No</t>
        </is>
      </c>
      <c r="I240" t="inlineStr">
        <is>
          <t>-</t>
        </is>
      </c>
      <c r="J240" t="inlineStr">
        <is>
          <t>No</t>
        </is>
      </c>
      <c r="K240" t="n">
        <v>0</v>
      </c>
      <c r="L240" t="n">
        <v>2</v>
      </c>
      <c r="M240" t="n">
        <v>3</v>
      </c>
    </row>
    <row r="241">
      <c r="A241" t="n">
        <v>3470</v>
      </c>
      <c r="B241" t="inlineStr">
        <is>
          <t>Bruno Santos</t>
        </is>
      </c>
      <c r="C241" t="inlineStr">
        <is>
          <t>Ultimate</t>
        </is>
      </c>
      <c r="D241" s="21" t="n">
        <v>45587</v>
      </c>
      <c r="E241" t="inlineStr">
        <is>
          <t>Yes</t>
        </is>
      </c>
      <c r="F241" t="n">
        <v>15</v>
      </c>
      <c r="G241" t="inlineStr">
        <is>
          <t>Annual</t>
        </is>
      </c>
      <c r="H241" t="inlineStr">
        <is>
          <t>Yes</t>
        </is>
      </c>
      <c r="I241" t="n">
        <v>30</v>
      </c>
      <c r="J241" t="inlineStr">
        <is>
          <t>Yes</t>
        </is>
      </c>
      <c r="K241" t="n">
        <v>20</v>
      </c>
      <c r="L241" t="n">
        <v>5</v>
      </c>
      <c r="M241" t="n">
        <v>60</v>
      </c>
    </row>
    <row r="242">
      <c r="A242" t="n">
        <v>3471</v>
      </c>
      <c r="B242" t="inlineStr">
        <is>
          <t>Carla Ferreira</t>
        </is>
      </c>
      <c r="C242" t="inlineStr">
        <is>
          <t>Standard</t>
        </is>
      </c>
      <c r="D242" s="21" t="n">
        <v>45588</v>
      </c>
      <c r="E242" t="inlineStr">
        <is>
          <t>No</t>
        </is>
      </c>
      <c r="F242" t="n">
        <v>10</v>
      </c>
      <c r="G242" t="inlineStr">
        <is>
          <t>Monthly</t>
        </is>
      </c>
      <c r="H242" t="inlineStr">
        <is>
          <t>No</t>
        </is>
      </c>
      <c r="I242" t="inlineStr">
        <is>
          <t>-</t>
        </is>
      </c>
      <c r="J242" t="inlineStr">
        <is>
          <t>Yes</t>
        </is>
      </c>
      <c r="K242" t="n">
        <v>20</v>
      </c>
      <c r="L242" t="n">
        <v>10</v>
      </c>
      <c r="M242" t="n">
        <v>20</v>
      </c>
    </row>
    <row r="243">
      <c r="A243" t="n">
        <v>3472</v>
      </c>
      <c r="B243" t="inlineStr">
        <is>
          <t>Diogo Alves</t>
        </is>
      </c>
      <c r="C243" t="inlineStr">
        <is>
          <t>Core</t>
        </is>
      </c>
      <c r="D243" s="21" t="n">
        <v>45589</v>
      </c>
      <c r="E243" t="inlineStr">
        <is>
          <t>Yes</t>
        </is>
      </c>
      <c r="F243" t="n">
        <v>5</v>
      </c>
      <c r="G243" t="inlineStr">
        <is>
          <t>Quarterly</t>
        </is>
      </c>
      <c r="H243" t="inlineStr">
        <is>
          <t>No</t>
        </is>
      </c>
      <c r="I243" t="inlineStr">
        <is>
          <t>-</t>
        </is>
      </c>
      <c r="J243" t="inlineStr">
        <is>
          <t>No</t>
        </is>
      </c>
      <c r="K243" t="n">
        <v>0</v>
      </c>
      <c r="L243" t="n">
        <v>0</v>
      </c>
      <c r="M243" t="n">
        <v>5</v>
      </c>
    </row>
    <row r="244">
      <c r="A244" t="n">
        <v>3473</v>
      </c>
      <c r="B244" t="inlineStr">
        <is>
          <t>Elisa Neves</t>
        </is>
      </c>
      <c r="C244" t="inlineStr">
        <is>
          <t>Ultimate</t>
        </is>
      </c>
      <c r="D244" s="21" t="n">
        <v>45590</v>
      </c>
      <c r="E244" t="inlineStr">
        <is>
          <t>No</t>
        </is>
      </c>
      <c r="F244" t="n">
        <v>15</v>
      </c>
      <c r="G244" t="inlineStr">
        <is>
          <t>Monthly</t>
        </is>
      </c>
      <c r="H244" t="inlineStr">
        <is>
          <t>Yes</t>
        </is>
      </c>
      <c r="I244" t="n">
        <v>30</v>
      </c>
      <c r="J244" t="inlineStr">
        <is>
          <t>Yes</t>
        </is>
      </c>
      <c r="K244" t="n">
        <v>20</v>
      </c>
      <c r="L244" t="n">
        <v>3</v>
      </c>
      <c r="M244" t="n">
        <v>62</v>
      </c>
    </row>
    <row r="245">
      <c r="A245" t="n">
        <v>3474</v>
      </c>
      <c r="B245" t="inlineStr">
        <is>
          <t>Fabiano Pires</t>
        </is>
      </c>
      <c r="C245" t="inlineStr">
        <is>
          <t>Standard</t>
        </is>
      </c>
      <c r="D245" s="21" t="n">
        <v>45591</v>
      </c>
      <c r="E245" t="inlineStr">
        <is>
          <t>Yes</t>
        </is>
      </c>
      <c r="F245" t="n">
        <v>10</v>
      </c>
      <c r="G245" t="inlineStr">
        <is>
          <t>Annual</t>
        </is>
      </c>
      <c r="H245" t="inlineStr">
        <is>
          <t>No</t>
        </is>
      </c>
      <c r="I245" t="inlineStr">
        <is>
          <t>-</t>
        </is>
      </c>
      <c r="J245" t="inlineStr">
        <is>
          <t>Yes</t>
        </is>
      </c>
      <c r="K245" t="n">
        <v>20</v>
      </c>
      <c r="L245" t="n">
        <v>15</v>
      </c>
      <c r="M245" t="n">
        <v>15</v>
      </c>
    </row>
    <row r="246">
      <c r="A246" t="n">
        <v>3475</v>
      </c>
      <c r="B246" t="inlineStr">
        <is>
          <t>Giovana Ribeiro</t>
        </is>
      </c>
      <c r="C246" t="inlineStr">
        <is>
          <t>Core</t>
        </is>
      </c>
      <c r="D246" s="21" t="n">
        <v>45592</v>
      </c>
      <c r="E246" t="inlineStr">
        <is>
          <t>No</t>
        </is>
      </c>
      <c r="F246" t="n">
        <v>5</v>
      </c>
      <c r="G246" t="inlineStr">
        <is>
          <t>Monthly</t>
        </is>
      </c>
      <c r="H246" t="inlineStr">
        <is>
          <t>No</t>
        </is>
      </c>
      <c r="I246" t="inlineStr">
        <is>
          <t>-</t>
        </is>
      </c>
      <c r="J246" t="inlineStr">
        <is>
          <t>No</t>
        </is>
      </c>
      <c r="K246" t="n">
        <v>0</v>
      </c>
      <c r="L246" t="n">
        <v>1</v>
      </c>
      <c r="M246" t="n">
        <v>4</v>
      </c>
    </row>
    <row r="247">
      <c r="A247" t="n">
        <v>3476</v>
      </c>
      <c r="B247" t="inlineStr">
        <is>
          <t>Hélio Costa</t>
        </is>
      </c>
      <c r="C247" t="inlineStr">
        <is>
          <t>Ultimate</t>
        </is>
      </c>
      <c r="D247" s="21" t="n">
        <v>45593</v>
      </c>
      <c r="E247" t="inlineStr">
        <is>
          <t>Yes</t>
        </is>
      </c>
      <c r="F247" t="n">
        <v>15</v>
      </c>
      <c r="G247" t="inlineStr">
        <is>
          <t>Quarterly</t>
        </is>
      </c>
      <c r="H247" t="inlineStr">
        <is>
          <t>Yes</t>
        </is>
      </c>
      <c r="I247" t="n">
        <v>30</v>
      </c>
      <c r="J247" t="inlineStr">
        <is>
          <t>Yes</t>
        </is>
      </c>
      <c r="K247" t="n">
        <v>20</v>
      </c>
      <c r="L247" t="n">
        <v>7</v>
      </c>
      <c r="M247" t="n">
        <v>58</v>
      </c>
    </row>
    <row r="248">
      <c r="A248" t="n">
        <v>3477</v>
      </c>
      <c r="B248" t="inlineStr">
        <is>
          <t>Íris Loureiro</t>
        </is>
      </c>
      <c r="C248" t="inlineStr">
        <is>
          <t>Standard</t>
        </is>
      </c>
      <c r="D248" s="21" t="n">
        <v>45594</v>
      </c>
      <c r="E248" t="inlineStr">
        <is>
          <t>No</t>
        </is>
      </c>
      <c r="F248" t="n">
        <v>10</v>
      </c>
      <c r="G248" t="inlineStr">
        <is>
          <t>Monthly</t>
        </is>
      </c>
      <c r="H248" t="inlineStr">
        <is>
          <t>No</t>
        </is>
      </c>
      <c r="I248" t="inlineStr">
        <is>
          <t>-</t>
        </is>
      </c>
      <c r="J248" t="inlineStr">
        <is>
          <t>Yes</t>
        </is>
      </c>
      <c r="K248" t="n">
        <v>20</v>
      </c>
      <c r="L248" t="n">
        <v>10</v>
      </c>
      <c r="M248" t="n">
        <v>20</v>
      </c>
    </row>
    <row r="249">
      <c r="A249" t="n">
        <v>3478</v>
      </c>
      <c r="B249" t="inlineStr">
        <is>
          <t>João Pereira</t>
        </is>
      </c>
      <c r="C249" t="inlineStr">
        <is>
          <t>Core</t>
        </is>
      </c>
      <c r="D249" s="21" t="n">
        <v>45595</v>
      </c>
      <c r="E249" t="inlineStr">
        <is>
          <t>Yes</t>
        </is>
      </c>
      <c r="F249" t="n">
        <v>5</v>
      </c>
      <c r="G249" t="inlineStr">
        <is>
          <t>Annual</t>
        </is>
      </c>
      <c r="H249" t="inlineStr">
        <is>
          <t>No</t>
        </is>
      </c>
      <c r="I249" t="inlineStr">
        <is>
          <t>-</t>
        </is>
      </c>
      <c r="J249" t="inlineStr">
        <is>
          <t>No</t>
        </is>
      </c>
      <c r="K249" t="n">
        <v>0</v>
      </c>
      <c r="L249" t="n">
        <v>0</v>
      </c>
      <c r="M249" t="n">
        <v>5</v>
      </c>
    </row>
    <row r="250">
      <c r="A250" t="n">
        <v>3479</v>
      </c>
      <c r="B250" t="inlineStr">
        <is>
          <t>Klara Silva</t>
        </is>
      </c>
      <c r="C250" t="inlineStr">
        <is>
          <t>Ultimate</t>
        </is>
      </c>
      <c r="D250" s="21" t="n">
        <v>45596</v>
      </c>
      <c r="E250" t="inlineStr">
        <is>
          <t>No</t>
        </is>
      </c>
      <c r="F250" t="n">
        <v>15</v>
      </c>
      <c r="G250" t="inlineStr">
        <is>
          <t>Monthly</t>
        </is>
      </c>
      <c r="H250" t="inlineStr">
        <is>
          <t>Yes</t>
        </is>
      </c>
      <c r="I250" t="n">
        <v>30</v>
      </c>
      <c r="J250" t="inlineStr">
        <is>
          <t>Yes</t>
        </is>
      </c>
      <c r="K250" t="n">
        <v>20</v>
      </c>
      <c r="L250" t="n">
        <v>20</v>
      </c>
      <c r="M250" t="n">
        <v>45</v>
      </c>
    </row>
    <row r="251">
      <c r="A251" t="n">
        <v>3480</v>
      </c>
      <c r="B251" t="inlineStr">
        <is>
          <t>Luciana Barros</t>
        </is>
      </c>
      <c r="C251" t="inlineStr">
        <is>
          <t>Standard</t>
        </is>
      </c>
      <c r="D251" s="21" t="n">
        <v>45597</v>
      </c>
      <c r="E251" t="inlineStr">
        <is>
          <t>Yes</t>
        </is>
      </c>
      <c r="F251" t="n">
        <v>10</v>
      </c>
      <c r="G251" t="inlineStr">
        <is>
          <t>Quarterly</t>
        </is>
      </c>
      <c r="H251" t="inlineStr">
        <is>
          <t>No</t>
        </is>
      </c>
      <c r="I251" t="inlineStr">
        <is>
          <t>-</t>
        </is>
      </c>
      <c r="J251" t="inlineStr">
        <is>
          <t>Yes</t>
        </is>
      </c>
      <c r="K251" t="n">
        <v>20</v>
      </c>
      <c r="L251" t="n">
        <v>15</v>
      </c>
      <c r="M251" t="n">
        <v>15</v>
      </c>
    </row>
    <row r="252">
      <c r="A252" t="n">
        <v>3481</v>
      </c>
      <c r="B252" t="inlineStr">
        <is>
          <t>Marcos Gomes</t>
        </is>
      </c>
      <c r="C252" t="inlineStr">
        <is>
          <t>Core</t>
        </is>
      </c>
      <c r="D252" s="21" t="n">
        <v>45598</v>
      </c>
      <c r="E252" t="inlineStr">
        <is>
          <t>No</t>
        </is>
      </c>
      <c r="F252" t="n">
        <v>5</v>
      </c>
      <c r="G252" t="inlineStr">
        <is>
          <t>Monthly</t>
        </is>
      </c>
      <c r="H252" t="inlineStr">
        <is>
          <t>No</t>
        </is>
      </c>
      <c r="I252" t="inlineStr">
        <is>
          <t>-</t>
        </is>
      </c>
      <c r="J252" t="inlineStr">
        <is>
          <t>No</t>
        </is>
      </c>
      <c r="K252" t="n">
        <v>0</v>
      </c>
      <c r="L252" t="n">
        <v>1</v>
      </c>
      <c r="M252" t="n">
        <v>4</v>
      </c>
    </row>
    <row r="253">
      <c r="A253" t="n">
        <v>3482</v>
      </c>
      <c r="B253" t="inlineStr">
        <is>
          <t>Natália Soares</t>
        </is>
      </c>
      <c r="C253" t="inlineStr">
        <is>
          <t>Ultimate</t>
        </is>
      </c>
      <c r="D253" s="21" t="n">
        <v>45599</v>
      </c>
      <c r="E253" t="inlineStr">
        <is>
          <t>Yes</t>
        </is>
      </c>
      <c r="F253" t="n">
        <v>15</v>
      </c>
      <c r="G253" t="inlineStr">
        <is>
          <t>Annual</t>
        </is>
      </c>
      <c r="H253" t="inlineStr">
        <is>
          <t>Yes</t>
        </is>
      </c>
      <c r="I253" t="n">
        <v>30</v>
      </c>
      <c r="J253" t="inlineStr">
        <is>
          <t>Yes</t>
        </is>
      </c>
      <c r="K253" t="n">
        <v>20</v>
      </c>
      <c r="L253" t="n">
        <v>3</v>
      </c>
      <c r="M253" t="n">
        <v>62</v>
      </c>
    </row>
    <row r="254">
      <c r="A254" t="n">
        <v>3483</v>
      </c>
      <c r="B254" t="inlineStr">
        <is>
          <t>Oscar Machado</t>
        </is>
      </c>
      <c r="C254" t="inlineStr">
        <is>
          <t>Standard</t>
        </is>
      </c>
      <c r="D254" s="21" t="n">
        <v>45600</v>
      </c>
      <c r="E254" t="inlineStr">
        <is>
          <t>No</t>
        </is>
      </c>
      <c r="F254" t="n">
        <v>10</v>
      </c>
      <c r="G254" t="inlineStr">
        <is>
          <t>Monthly</t>
        </is>
      </c>
      <c r="H254" t="inlineStr">
        <is>
          <t>No</t>
        </is>
      </c>
      <c r="I254" t="inlineStr">
        <is>
          <t>-</t>
        </is>
      </c>
      <c r="J254" t="inlineStr">
        <is>
          <t>Yes</t>
        </is>
      </c>
      <c r="K254" t="n">
        <v>20</v>
      </c>
      <c r="L254" t="n">
        <v>10</v>
      </c>
      <c r="M254" t="n">
        <v>20</v>
      </c>
    </row>
    <row r="255">
      <c r="A255" t="n">
        <v>3484</v>
      </c>
      <c r="B255" t="inlineStr">
        <is>
          <t>Patrícia Lima</t>
        </is>
      </c>
      <c r="C255" t="inlineStr">
        <is>
          <t>Core</t>
        </is>
      </c>
      <c r="D255" s="21" t="n">
        <v>45601</v>
      </c>
      <c r="E255" t="inlineStr">
        <is>
          <t>Yes</t>
        </is>
      </c>
      <c r="F255" t="n">
        <v>5</v>
      </c>
      <c r="G255" t="inlineStr">
        <is>
          <t>Quarterly</t>
        </is>
      </c>
      <c r="H255" t="inlineStr">
        <is>
          <t>No</t>
        </is>
      </c>
      <c r="I255" t="inlineStr">
        <is>
          <t>-</t>
        </is>
      </c>
      <c r="J255" t="inlineStr">
        <is>
          <t>No</t>
        </is>
      </c>
      <c r="K255" t="n">
        <v>0</v>
      </c>
      <c r="L255" t="n">
        <v>0</v>
      </c>
      <c r="M255" t="n">
        <v>5</v>
      </c>
    </row>
    <row r="256">
      <c r="A256" t="n">
        <v>3485</v>
      </c>
      <c r="B256" t="inlineStr">
        <is>
          <t>Quirino Neto</t>
        </is>
      </c>
      <c r="C256" t="inlineStr">
        <is>
          <t>Ultimate</t>
        </is>
      </c>
      <c r="D256" s="21" t="n">
        <v>45602</v>
      </c>
      <c r="E256" t="inlineStr">
        <is>
          <t>No</t>
        </is>
      </c>
      <c r="F256" t="n">
        <v>15</v>
      </c>
      <c r="G256" t="inlineStr">
        <is>
          <t>Monthly</t>
        </is>
      </c>
      <c r="H256" t="inlineStr">
        <is>
          <t>Yes</t>
        </is>
      </c>
      <c r="I256" t="n">
        <v>30</v>
      </c>
      <c r="J256" t="inlineStr">
        <is>
          <t>Yes</t>
        </is>
      </c>
      <c r="K256" t="n">
        <v>20</v>
      </c>
      <c r="L256" t="n">
        <v>15</v>
      </c>
      <c r="M256" t="n">
        <v>50</v>
      </c>
    </row>
    <row r="257">
      <c r="A257" t="n">
        <v>3486</v>
      </c>
      <c r="B257" t="inlineStr">
        <is>
          <t>Rafaela Souza</t>
        </is>
      </c>
      <c r="C257" t="inlineStr">
        <is>
          <t>Core</t>
        </is>
      </c>
      <c r="D257" s="21" t="n">
        <v>45603</v>
      </c>
      <c r="E257" t="inlineStr">
        <is>
          <t>Yes</t>
        </is>
      </c>
      <c r="F257" t="n">
        <v>5</v>
      </c>
      <c r="G257" t="inlineStr">
        <is>
          <t>Monthly</t>
        </is>
      </c>
      <c r="H257" t="inlineStr">
        <is>
          <t>No</t>
        </is>
      </c>
      <c r="I257" t="inlineStr">
        <is>
          <t>-</t>
        </is>
      </c>
      <c r="J257" t="inlineStr">
        <is>
          <t>No</t>
        </is>
      </c>
      <c r="K257" t="n">
        <v>0</v>
      </c>
      <c r="L257" t="n">
        <v>0</v>
      </c>
      <c r="M257" t="n">
        <v>5</v>
      </c>
    </row>
    <row r="258">
      <c r="A258" t="n">
        <v>3487</v>
      </c>
      <c r="B258" t="inlineStr">
        <is>
          <t>Sandro Almeida</t>
        </is>
      </c>
      <c r="C258" t="inlineStr">
        <is>
          <t>Ultimate</t>
        </is>
      </c>
      <c r="D258" s="21" t="n">
        <v>45604</v>
      </c>
      <c r="E258" t="inlineStr">
        <is>
          <t>No</t>
        </is>
      </c>
      <c r="F258" t="n">
        <v>15</v>
      </c>
      <c r="G258" t="inlineStr">
        <is>
          <t>Quarterly</t>
        </is>
      </c>
      <c r="H258" t="inlineStr">
        <is>
          <t>Yes</t>
        </is>
      </c>
      <c r="I258" t="n">
        <v>30</v>
      </c>
      <c r="J258" t="inlineStr">
        <is>
          <t>Yes</t>
        </is>
      </c>
      <c r="K258" t="n">
        <v>20</v>
      </c>
      <c r="L258" t="n">
        <v>7</v>
      </c>
      <c r="M258" t="n">
        <v>58</v>
      </c>
    </row>
    <row r="259">
      <c r="A259" t="n">
        <v>3488</v>
      </c>
      <c r="B259" t="inlineStr">
        <is>
          <t>Tânia Ribeiro</t>
        </is>
      </c>
      <c r="C259" t="inlineStr">
        <is>
          <t>Standard</t>
        </is>
      </c>
      <c r="D259" s="21" t="n">
        <v>45605</v>
      </c>
      <c r="E259" t="inlineStr">
        <is>
          <t>Yes</t>
        </is>
      </c>
      <c r="F259" t="n">
        <v>10</v>
      </c>
      <c r="G259" t="inlineStr">
        <is>
          <t>Annual</t>
        </is>
      </c>
      <c r="H259" t="inlineStr">
        <is>
          <t>No</t>
        </is>
      </c>
      <c r="I259" t="inlineStr">
        <is>
          <t>-</t>
        </is>
      </c>
      <c r="J259" t="inlineStr">
        <is>
          <t>Yes</t>
        </is>
      </c>
      <c r="K259" t="n">
        <v>20</v>
      </c>
      <c r="L259" t="n">
        <v>10</v>
      </c>
      <c r="M259" t="n">
        <v>20</v>
      </c>
    </row>
    <row r="260">
      <c r="A260" t="n">
        <v>3489</v>
      </c>
      <c r="B260" t="inlineStr">
        <is>
          <t>Ugo Dias</t>
        </is>
      </c>
      <c r="C260" t="inlineStr">
        <is>
          <t>Core</t>
        </is>
      </c>
      <c r="D260" s="21" t="n">
        <v>45606</v>
      </c>
      <c r="E260" t="inlineStr">
        <is>
          <t>No</t>
        </is>
      </c>
      <c r="F260" t="n">
        <v>5</v>
      </c>
      <c r="G260" t="inlineStr">
        <is>
          <t>Quarterly</t>
        </is>
      </c>
      <c r="H260" t="inlineStr">
        <is>
          <t>No</t>
        </is>
      </c>
      <c r="I260" t="inlineStr">
        <is>
          <t>-</t>
        </is>
      </c>
      <c r="J260" t="inlineStr">
        <is>
          <t>No</t>
        </is>
      </c>
      <c r="K260" t="n">
        <v>0</v>
      </c>
      <c r="L260" t="n">
        <v>1</v>
      </c>
      <c r="M260" t="n">
        <v>4</v>
      </c>
    </row>
    <row r="261">
      <c r="A261" t="n">
        <v>3490</v>
      </c>
      <c r="B261" t="inlineStr">
        <is>
          <t>Valéria Lima</t>
        </is>
      </c>
      <c r="C261" t="inlineStr">
        <is>
          <t>Ultimate</t>
        </is>
      </c>
      <c r="D261" s="21" t="n">
        <v>45607</v>
      </c>
      <c r="E261" t="inlineStr">
        <is>
          <t>Yes</t>
        </is>
      </c>
      <c r="F261" t="n">
        <v>15</v>
      </c>
      <c r="G261" t="inlineStr">
        <is>
          <t>Monthly</t>
        </is>
      </c>
      <c r="H261" t="inlineStr">
        <is>
          <t>Yes</t>
        </is>
      </c>
      <c r="I261" t="n">
        <v>30</v>
      </c>
      <c r="J261" t="inlineStr">
        <is>
          <t>Yes</t>
        </is>
      </c>
      <c r="K261" t="n">
        <v>20</v>
      </c>
      <c r="L261" t="n">
        <v>15</v>
      </c>
      <c r="M261" t="n">
        <v>50</v>
      </c>
    </row>
    <row r="262">
      <c r="A262" t="n">
        <v>3491</v>
      </c>
      <c r="B262" t="inlineStr">
        <is>
          <t>William Fernandes</t>
        </is>
      </c>
      <c r="C262" t="inlineStr">
        <is>
          <t>Standard</t>
        </is>
      </c>
      <c r="D262" s="21" t="n">
        <v>45608</v>
      </c>
      <c r="E262" t="inlineStr">
        <is>
          <t>No</t>
        </is>
      </c>
      <c r="F262" t="n">
        <v>10</v>
      </c>
      <c r="G262" t="inlineStr">
        <is>
          <t>Monthly</t>
        </is>
      </c>
      <c r="H262" t="inlineStr">
        <is>
          <t>No</t>
        </is>
      </c>
      <c r="I262" t="inlineStr">
        <is>
          <t>-</t>
        </is>
      </c>
      <c r="J262" t="inlineStr">
        <is>
          <t>Yes</t>
        </is>
      </c>
      <c r="K262" t="n">
        <v>20</v>
      </c>
      <c r="L262" t="n">
        <v>5</v>
      </c>
      <c r="M262" t="n">
        <v>25</v>
      </c>
    </row>
    <row r="263">
      <c r="A263" t="n">
        <v>3492</v>
      </c>
      <c r="B263" t="inlineStr">
        <is>
          <t>Xuxa Mendes</t>
        </is>
      </c>
      <c r="C263" t="inlineStr">
        <is>
          <t>Core</t>
        </is>
      </c>
      <c r="D263" s="21" t="n">
        <v>45609</v>
      </c>
      <c r="E263" t="inlineStr">
        <is>
          <t>Yes</t>
        </is>
      </c>
      <c r="F263" t="n">
        <v>5</v>
      </c>
      <c r="G263" t="inlineStr">
        <is>
          <t>Annual</t>
        </is>
      </c>
      <c r="H263" t="inlineStr">
        <is>
          <t>No</t>
        </is>
      </c>
      <c r="I263" t="inlineStr">
        <is>
          <t>-</t>
        </is>
      </c>
      <c r="J263" t="inlineStr">
        <is>
          <t>No</t>
        </is>
      </c>
      <c r="K263" t="n">
        <v>0</v>
      </c>
      <c r="L263" t="n">
        <v>0</v>
      </c>
      <c r="M263" t="n">
        <v>5</v>
      </c>
    </row>
    <row r="264">
      <c r="A264" t="n">
        <v>3493</v>
      </c>
      <c r="B264" t="inlineStr">
        <is>
          <t>Ygor Farias</t>
        </is>
      </c>
      <c r="C264" t="inlineStr">
        <is>
          <t>Ultimate</t>
        </is>
      </c>
      <c r="D264" s="21" t="n">
        <v>45610</v>
      </c>
      <c r="E264" t="inlineStr">
        <is>
          <t>No</t>
        </is>
      </c>
      <c r="F264" t="n">
        <v>15</v>
      </c>
      <c r="G264" t="inlineStr">
        <is>
          <t>Quarterly</t>
        </is>
      </c>
      <c r="H264" t="inlineStr">
        <is>
          <t>Yes</t>
        </is>
      </c>
      <c r="I264" t="n">
        <v>30</v>
      </c>
      <c r="J264" t="inlineStr">
        <is>
          <t>Yes</t>
        </is>
      </c>
      <c r="K264" t="n">
        <v>20</v>
      </c>
      <c r="L264" t="n">
        <v>20</v>
      </c>
      <c r="M264" t="n">
        <v>45</v>
      </c>
    </row>
    <row r="265">
      <c r="A265" t="n">
        <v>3494</v>
      </c>
      <c r="B265" t="inlineStr">
        <is>
          <t>Zilda Barros</t>
        </is>
      </c>
      <c r="C265" t="inlineStr">
        <is>
          <t>Standard</t>
        </is>
      </c>
      <c r="D265" s="21" t="n">
        <v>45611</v>
      </c>
      <c r="E265" t="inlineStr">
        <is>
          <t>Yes</t>
        </is>
      </c>
      <c r="F265" t="n">
        <v>10</v>
      </c>
      <c r="G265" t="inlineStr">
        <is>
          <t>Quarterly</t>
        </is>
      </c>
      <c r="H265" t="inlineStr">
        <is>
          <t>No</t>
        </is>
      </c>
      <c r="I265" t="inlineStr">
        <is>
          <t>-</t>
        </is>
      </c>
      <c r="J265" t="inlineStr">
        <is>
          <t>Yes</t>
        </is>
      </c>
      <c r="K265" t="n">
        <v>20</v>
      </c>
      <c r="L265" t="n">
        <v>12</v>
      </c>
      <c r="M265" t="n">
        <v>18</v>
      </c>
    </row>
    <row r="266">
      <c r="A266" t="n">
        <v>3495</v>
      </c>
      <c r="B266" t="inlineStr">
        <is>
          <t>Amanda Santos</t>
        </is>
      </c>
      <c r="C266" t="inlineStr">
        <is>
          <t>Core</t>
        </is>
      </c>
      <c r="D266" s="21" t="n">
        <v>45612</v>
      </c>
      <c r="E266" t="inlineStr">
        <is>
          <t>No</t>
        </is>
      </c>
      <c r="F266" t="n">
        <v>5</v>
      </c>
      <c r="G266" t="inlineStr">
        <is>
          <t>Monthly</t>
        </is>
      </c>
      <c r="H266" t="inlineStr">
        <is>
          <t>No</t>
        </is>
      </c>
      <c r="I266" t="inlineStr">
        <is>
          <t>-</t>
        </is>
      </c>
      <c r="J266" t="inlineStr">
        <is>
          <t>No</t>
        </is>
      </c>
      <c r="K266" t="n">
        <v>0</v>
      </c>
      <c r="L266" t="n">
        <v>2</v>
      </c>
      <c r="M266" t="n">
        <v>3</v>
      </c>
    </row>
    <row r="267">
      <c r="A267" t="n">
        <v>3496</v>
      </c>
      <c r="B267" t="inlineStr">
        <is>
          <t>Bruno Costa</t>
        </is>
      </c>
      <c r="C267" t="inlineStr">
        <is>
          <t>Ultimate</t>
        </is>
      </c>
      <c r="D267" s="21" t="n">
        <v>45613</v>
      </c>
      <c r="E267" t="inlineStr">
        <is>
          <t>Yes</t>
        </is>
      </c>
      <c r="F267" t="n">
        <v>15</v>
      </c>
      <c r="G267" t="inlineStr">
        <is>
          <t>Annual</t>
        </is>
      </c>
      <c r="H267" t="inlineStr">
        <is>
          <t>Yes</t>
        </is>
      </c>
      <c r="I267" t="n">
        <v>30</v>
      </c>
      <c r="J267" t="inlineStr">
        <is>
          <t>Yes</t>
        </is>
      </c>
      <c r="K267" t="n">
        <v>20</v>
      </c>
      <c r="L267" t="n">
        <v>5</v>
      </c>
      <c r="M267" t="n">
        <v>60</v>
      </c>
    </row>
    <row r="268">
      <c r="A268" t="n">
        <v>3497</v>
      </c>
      <c r="B268" t="inlineStr">
        <is>
          <t>Carla Rodrigues</t>
        </is>
      </c>
      <c r="C268" t="inlineStr">
        <is>
          <t>Standard</t>
        </is>
      </c>
      <c r="D268" s="21" t="n">
        <v>45614</v>
      </c>
      <c r="E268" t="inlineStr">
        <is>
          <t>No</t>
        </is>
      </c>
      <c r="F268" t="n">
        <v>10</v>
      </c>
      <c r="G268" t="inlineStr">
        <is>
          <t>Monthly</t>
        </is>
      </c>
      <c r="H268" t="inlineStr">
        <is>
          <t>No</t>
        </is>
      </c>
      <c r="I268" t="inlineStr">
        <is>
          <t>-</t>
        </is>
      </c>
      <c r="J268" t="inlineStr">
        <is>
          <t>Yes</t>
        </is>
      </c>
      <c r="K268" t="n">
        <v>20</v>
      </c>
      <c r="L268" t="n">
        <v>10</v>
      </c>
      <c r="M268" t="n">
        <v>20</v>
      </c>
    </row>
    <row r="269">
      <c r="A269" t="n">
        <v>3498</v>
      </c>
      <c r="B269" t="inlineStr">
        <is>
          <t>Diogo Pereira</t>
        </is>
      </c>
      <c r="C269" t="inlineStr">
        <is>
          <t>Core</t>
        </is>
      </c>
      <c r="D269" s="21" t="n">
        <v>45615</v>
      </c>
      <c r="E269" t="inlineStr">
        <is>
          <t>Yes</t>
        </is>
      </c>
      <c r="F269" t="n">
        <v>5</v>
      </c>
      <c r="G269" t="inlineStr">
        <is>
          <t>Quarterly</t>
        </is>
      </c>
      <c r="H269" t="inlineStr">
        <is>
          <t>No</t>
        </is>
      </c>
      <c r="I269" t="inlineStr">
        <is>
          <t>-</t>
        </is>
      </c>
      <c r="J269" t="inlineStr">
        <is>
          <t>No</t>
        </is>
      </c>
      <c r="K269" t="n">
        <v>0</v>
      </c>
      <c r="L269" t="n">
        <v>0</v>
      </c>
      <c r="M269" t="n">
        <v>5</v>
      </c>
    </row>
    <row r="270">
      <c r="A270" t="n">
        <v>3499</v>
      </c>
      <c r="B270" t="inlineStr">
        <is>
          <t>Elisa Correia</t>
        </is>
      </c>
      <c r="C270" t="inlineStr">
        <is>
          <t>Ultimate</t>
        </is>
      </c>
      <c r="D270" s="21" t="n">
        <v>45616</v>
      </c>
      <c r="E270" t="inlineStr">
        <is>
          <t>No</t>
        </is>
      </c>
      <c r="F270" t="n">
        <v>15</v>
      </c>
      <c r="G270" t="inlineStr">
        <is>
          <t>Monthly</t>
        </is>
      </c>
      <c r="H270" t="inlineStr">
        <is>
          <t>Yes</t>
        </is>
      </c>
      <c r="I270" t="n">
        <v>30</v>
      </c>
      <c r="J270" t="inlineStr">
        <is>
          <t>Yes</t>
        </is>
      </c>
      <c r="K270" t="n">
        <v>20</v>
      </c>
      <c r="L270" t="n">
        <v>3</v>
      </c>
      <c r="M270" t="n">
        <v>62</v>
      </c>
    </row>
    <row r="271">
      <c r="A271" t="n">
        <v>3500</v>
      </c>
      <c r="B271" t="inlineStr">
        <is>
          <t>Fábio Lourenço</t>
        </is>
      </c>
      <c r="C271" t="inlineStr">
        <is>
          <t>Standard</t>
        </is>
      </c>
      <c r="D271" s="21" t="n">
        <v>45617</v>
      </c>
      <c r="E271" t="inlineStr">
        <is>
          <t>Yes</t>
        </is>
      </c>
      <c r="F271" t="n">
        <v>10</v>
      </c>
      <c r="G271" t="inlineStr">
        <is>
          <t>Annual</t>
        </is>
      </c>
      <c r="H271" t="inlineStr">
        <is>
          <t>No</t>
        </is>
      </c>
      <c r="I271" t="inlineStr">
        <is>
          <t>-</t>
        </is>
      </c>
      <c r="J271" t="inlineStr">
        <is>
          <t>Yes</t>
        </is>
      </c>
      <c r="K271" t="n">
        <v>20</v>
      </c>
      <c r="L271" t="n">
        <v>15</v>
      </c>
      <c r="M271" t="n">
        <v>15</v>
      </c>
    </row>
    <row r="272">
      <c r="A272" t="n">
        <v>3501</v>
      </c>
      <c r="B272" t="inlineStr">
        <is>
          <t>Gabriela Neves</t>
        </is>
      </c>
      <c r="C272" t="inlineStr">
        <is>
          <t>Core</t>
        </is>
      </c>
      <c r="D272" s="21" t="n">
        <v>45618</v>
      </c>
      <c r="E272" t="inlineStr">
        <is>
          <t>No</t>
        </is>
      </c>
      <c r="F272" t="n">
        <v>5</v>
      </c>
      <c r="G272" t="inlineStr">
        <is>
          <t>Monthly</t>
        </is>
      </c>
      <c r="H272" t="inlineStr">
        <is>
          <t>No</t>
        </is>
      </c>
      <c r="I272" t="inlineStr">
        <is>
          <t>-</t>
        </is>
      </c>
      <c r="J272" t="inlineStr">
        <is>
          <t>No</t>
        </is>
      </c>
      <c r="K272" t="n">
        <v>0</v>
      </c>
      <c r="L272" t="n">
        <v>1</v>
      </c>
      <c r="M272" t="n">
        <v>4</v>
      </c>
    </row>
    <row r="273">
      <c r="A273" t="n">
        <v>3502</v>
      </c>
      <c r="B273" t="inlineStr">
        <is>
          <t>Henrique Gonçalves</t>
        </is>
      </c>
      <c r="C273" t="inlineStr">
        <is>
          <t>Ultimate</t>
        </is>
      </c>
      <c r="D273" s="21" t="n">
        <v>45619</v>
      </c>
      <c r="E273" t="inlineStr">
        <is>
          <t>Yes</t>
        </is>
      </c>
      <c r="F273" t="n">
        <v>15</v>
      </c>
      <c r="G273" t="inlineStr">
        <is>
          <t>Quarterly</t>
        </is>
      </c>
      <c r="H273" t="inlineStr">
        <is>
          <t>Yes</t>
        </is>
      </c>
      <c r="I273" t="n">
        <v>30</v>
      </c>
      <c r="J273" t="inlineStr">
        <is>
          <t>Yes</t>
        </is>
      </c>
      <c r="K273" t="n">
        <v>20</v>
      </c>
      <c r="L273" t="n">
        <v>7</v>
      </c>
      <c r="M273" t="n">
        <v>58</v>
      </c>
    </row>
    <row r="274">
      <c r="A274" t="n">
        <v>3503</v>
      </c>
      <c r="B274" t="inlineStr">
        <is>
          <t>Íris Santos</t>
        </is>
      </c>
      <c r="C274" t="inlineStr">
        <is>
          <t>Standard</t>
        </is>
      </c>
      <c r="D274" s="21" t="n">
        <v>45620</v>
      </c>
      <c r="E274" t="inlineStr">
        <is>
          <t>No</t>
        </is>
      </c>
      <c r="F274" t="n">
        <v>10</v>
      </c>
      <c r="G274" t="inlineStr">
        <is>
          <t>Monthly</t>
        </is>
      </c>
      <c r="H274" t="inlineStr">
        <is>
          <t>No</t>
        </is>
      </c>
      <c r="I274" t="inlineStr">
        <is>
          <t>-</t>
        </is>
      </c>
      <c r="J274" t="inlineStr">
        <is>
          <t>Yes</t>
        </is>
      </c>
      <c r="K274" t="n">
        <v>20</v>
      </c>
      <c r="L274" t="n">
        <v>10</v>
      </c>
      <c r="M274" t="n">
        <v>20</v>
      </c>
    </row>
    <row r="275">
      <c r="A275" t="n">
        <v>3504</v>
      </c>
      <c r="B275" t="inlineStr">
        <is>
          <t>João Marcelo Alves</t>
        </is>
      </c>
      <c r="C275" t="inlineStr">
        <is>
          <t>Core</t>
        </is>
      </c>
      <c r="D275" s="21" t="n">
        <v>45621</v>
      </c>
      <c r="E275" t="inlineStr">
        <is>
          <t>Yes</t>
        </is>
      </c>
      <c r="F275" t="n">
        <v>5</v>
      </c>
      <c r="G275" t="inlineStr">
        <is>
          <t>Annual</t>
        </is>
      </c>
      <c r="H275" t="inlineStr">
        <is>
          <t>No</t>
        </is>
      </c>
      <c r="I275" t="inlineStr">
        <is>
          <t>-</t>
        </is>
      </c>
      <c r="J275" t="inlineStr">
        <is>
          <t>No</t>
        </is>
      </c>
      <c r="K275" t="n">
        <v>0</v>
      </c>
      <c r="L275" t="n">
        <v>0</v>
      </c>
      <c r="M275" t="n">
        <v>5</v>
      </c>
    </row>
    <row r="276">
      <c r="A276" t="n">
        <v>3505</v>
      </c>
      <c r="B276" t="inlineStr">
        <is>
          <t>Klara Fonseca</t>
        </is>
      </c>
      <c r="C276" t="inlineStr">
        <is>
          <t>Ultimate</t>
        </is>
      </c>
      <c r="D276" s="21" t="n">
        <v>45622</v>
      </c>
      <c r="E276" t="inlineStr">
        <is>
          <t>No</t>
        </is>
      </c>
      <c r="F276" t="n">
        <v>15</v>
      </c>
      <c r="G276" t="inlineStr">
        <is>
          <t>Monthly</t>
        </is>
      </c>
      <c r="H276" t="inlineStr">
        <is>
          <t>Yes</t>
        </is>
      </c>
      <c r="I276" t="n">
        <v>30</v>
      </c>
      <c r="J276" t="inlineStr">
        <is>
          <t>Yes</t>
        </is>
      </c>
      <c r="K276" t="n">
        <v>20</v>
      </c>
      <c r="L276" t="n">
        <v>20</v>
      </c>
      <c r="M276" t="n">
        <v>45</v>
      </c>
    </row>
    <row r="277">
      <c r="A277" t="n">
        <v>3506</v>
      </c>
      <c r="B277" t="inlineStr">
        <is>
          <t>Lucas Mendonça</t>
        </is>
      </c>
      <c r="C277" t="inlineStr">
        <is>
          <t>Standard</t>
        </is>
      </c>
      <c r="D277" s="21" t="n">
        <v>45623</v>
      </c>
      <c r="E277" t="inlineStr">
        <is>
          <t>Yes</t>
        </is>
      </c>
      <c r="F277" t="n">
        <v>10</v>
      </c>
      <c r="G277" t="inlineStr">
        <is>
          <t>Quarterly</t>
        </is>
      </c>
      <c r="H277" t="inlineStr">
        <is>
          <t>No</t>
        </is>
      </c>
      <c r="I277" t="inlineStr">
        <is>
          <t>-</t>
        </is>
      </c>
      <c r="J277" t="inlineStr">
        <is>
          <t>Yes</t>
        </is>
      </c>
      <c r="K277" t="n">
        <v>20</v>
      </c>
      <c r="L277" t="n">
        <v>15</v>
      </c>
      <c r="M277" t="n">
        <v>15</v>
      </c>
    </row>
    <row r="278">
      <c r="A278" t="n">
        <v>3507</v>
      </c>
      <c r="B278" t="inlineStr">
        <is>
          <t>Marcela Torres</t>
        </is>
      </c>
      <c r="C278" t="inlineStr">
        <is>
          <t>Core</t>
        </is>
      </c>
      <c r="D278" s="21" t="n">
        <v>45624</v>
      </c>
      <c r="E278" t="inlineStr">
        <is>
          <t>No</t>
        </is>
      </c>
      <c r="F278" t="n">
        <v>5</v>
      </c>
      <c r="G278" t="inlineStr">
        <is>
          <t>Monthly</t>
        </is>
      </c>
      <c r="H278" t="inlineStr">
        <is>
          <t>No</t>
        </is>
      </c>
      <c r="I278" t="inlineStr">
        <is>
          <t>-</t>
        </is>
      </c>
      <c r="J278" t="inlineStr">
        <is>
          <t>No</t>
        </is>
      </c>
      <c r="K278" t="n">
        <v>0</v>
      </c>
      <c r="L278" t="n">
        <v>1</v>
      </c>
      <c r="M278" t="n">
        <v>4</v>
      </c>
    </row>
    <row r="279">
      <c r="A279" t="n">
        <v>3508</v>
      </c>
      <c r="B279" t="inlineStr">
        <is>
          <t>Natália Castro</t>
        </is>
      </c>
      <c r="C279" t="inlineStr">
        <is>
          <t>Ultimate</t>
        </is>
      </c>
      <c r="D279" s="21" t="n">
        <v>45625</v>
      </c>
      <c r="E279" t="inlineStr">
        <is>
          <t>Yes</t>
        </is>
      </c>
      <c r="F279" t="n">
        <v>15</v>
      </c>
      <c r="G279" t="inlineStr">
        <is>
          <t>Annual</t>
        </is>
      </c>
      <c r="H279" t="inlineStr">
        <is>
          <t>Yes</t>
        </is>
      </c>
      <c r="I279" t="n">
        <v>30</v>
      </c>
      <c r="J279" t="inlineStr">
        <is>
          <t>Yes</t>
        </is>
      </c>
      <c r="K279" t="n">
        <v>20</v>
      </c>
      <c r="L279" t="n">
        <v>3</v>
      </c>
      <c r="M279" t="n">
        <v>62</v>
      </c>
    </row>
    <row r="280">
      <c r="A280" t="n">
        <v>3509</v>
      </c>
      <c r="B280" t="inlineStr">
        <is>
          <t>Oscar Martins</t>
        </is>
      </c>
      <c r="C280" t="inlineStr">
        <is>
          <t>Standard</t>
        </is>
      </c>
      <c r="D280" s="21" t="n">
        <v>45626</v>
      </c>
      <c r="E280" t="inlineStr">
        <is>
          <t>No</t>
        </is>
      </c>
      <c r="F280" t="n">
        <v>10</v>
      </c>
      <c r="G280" t="inlineStr">
        <is>
          <t>Monthly</t>
        </is>
      </c>
      <c r="H280" t="inlineStr">
        <is>
          <t>No</t>
        </is>
      </c>
      <c r="I280" t="inlineStr">
        <is>
          <t>-</t>
        </is>
      </c>
      <c r="J280" t="inlineStr">
        <is>
          <t>Yes</t>
        </is>
      </c>
      <c r="K280" t="n">
        <v>20</v>
      </c>
      <c r="L280" t="n">
        <v>10</v>
      </c>
      <c r="M280" t="n">
        <v>20</v>
      </c>
    </row>
    <row r="281">
      <c r="A281" t="n">
        <v>3510</v>
      </c>
      <c r="B281" t="inlineStr">
        <is>
          <t>Patrícia Oliveira</t>
        </is>
      </c>
      <c r="C281" t="inlineStr">
        <is>
          <t>Core</t>
        </is>
      </c>
      <c r="D281" s="21" t="n">
        <v>45627</v>
      </c>
      <c r="E281" t="inlineStr">
        <is>
          <t>Yes</t>
        </is>
      </c>
      <c r="F281" t="n">
        <v>5</v>
      </c>
      <c r="G281" t="inlineStr">
        <is>
          <t>Quarterly</t>
        </is>
      </c>
      <c r="H281" t="inlineStr">
        <is>
          <t>No</t>
        </is>
      </c>
      <c r="I281" t="inlineStr">
        <is>
          <t>-</t>
        </is>
      </c>
      <c r="J281" t="inlineStr">
        <is>
          <t>No</t>
        </is>
      </c>
      <c r="K281" t="n">
        <v>0</v>
      </c>
      <c r="L281" t="n">
        <v>0</v>
      </c>
      <c r="M281" t="n">
        <v>5</v>
      </c>
    </row>
    <row r="282">
      <c r="A282" t="n">
        <v>3511</v>
      </c>
      <c r="B282" t="inlineStr">
        <is>
          <t>Quentin Nogueira</t>
        </is>
      </c>
      <c r="C282" t="inlineStr">
        <is>
          <t>Ultimate</t>
        </is>
      </c>
      <c r="D282" s="21" t="n">
        <v>45628</v>
      </c>
      <c r="E282" t="inlineStr">
        <is>
          <t>No</t>
        </is>
      </c>
      <c r="F282" t="n">
        <v>15</v>
      </c>
      <c r="G282" t="inlineStr">
        <is>
          <t>Monthly</t>
        </is>
      </c>
      <c r="H282" t="inlineStr">
        <is>
          <t>Yes</t>
        </is>
      </c>
      <c r="I282" t="n">
        <v>30</v>
      </c>
      <c r="J282" t="inlineStr">
        <is>
          <t>Yes</t>
        </is>
      </c>
      <c r="K282" t="n">
        <v>20</v>
      </c>
      <c r="L282" t="n">
        <v>15</v>
      </c>
      <c r="M282" t="n">
        <v>50</v>
      </c>
    </row>
    <row r="283">
      <c r="A283" t="n">
        <v>3512</v>
      </c>
      <c r="B283" t="inlineStr">
        <is>
          <t>Raquel Silva</t>
        </is>
      </c>
      <c r="C283" t="inlineStr">
        <is>
          <t>Standard</t>
        </is>
      </c>
      <c r="D283" s="21" t="n">
        <v>45629</v>
      </c>
      <c r="E283" t="inlineStr">
        <is>
          <t>Yes</t>
        </is>
      </c>
      <c r="F283" t="n">
        <v>10</v>
      </c>
      <c r="G283" t="inlineStr">
        <is>
          <t>Annual</t>
        </is>
      </c>
      <c r="H283" t="inlineStr">
        <is>
          <t>No</t>
        </is>
      </c>
      <c r="I283" t="inlineStr">
        <is>
          <t>-</t>
        </is>
      </c>
      <c r="J283" t="inlineStr">
        <is>
          <t>Yes</t>
        </is>
      </c>
      <c r="K283" t="n">
        <v>20</v>
      </c>
      <c r="L283" t="n">
        <v>15</v>
      </c>
      <c r="M283" t="n">
        <v>15</v>
      </c>
    </row>
    <row r="284">
      <c r="A284" t="n">
        <v>3513</v>
      </c>
      <c r="B284" t="inlineStr">
        <is>
          <t>Sandro Gomes</t>
        </is>
      </c>
      <c r="C284" t="inlineStr">
        <is>
          <t>Core</t>
        </is>
      </c>
      <c r="D284" s="21" t="n">
        <v>45630</v>
      </c>
      <c r="E284" t="inlineStr">
        <is>
          <t>No</t>
        </is>
      </c>
      <c r="F284" t="n">
        <v>5</v>
      </c>
      <c r="G284" t="inlineStr">
        <is>
          <t>Monthly</t>
        </is>
      </c>
      <c r="H284" t="inlineStr">
        <is>
          <t>No</t>
        </is>
      </c>
      <c r="I284" t="inlineStr">
        <is>
          <t>-</t>
        </is>
      </c>
      <c r="J284" t="inlineStr">
        <is>
          <t>No</t>
        </is>
      </c>
      <c r="K284" t="n">
        <v>0</v>
      </c>
      <c r="L284" t="n">
        <v>1</v>
      </c>
      <c r="M284" t="n">
        <v>4</v>
      </c>
    </row>
    <row r="285">
      <c r="A285" t="n">
        <v>3514</v>
      </c>
      <c r="B285" t="inlineStr">
        <is>
          <t>Tânia Machado</t>
        </is>
      </c>
      <c r="C285" t="inlineStr">
        <is>
          <t>Ultimate</t>
        </is>
      </c>
      <c r="D285" s="21" t="n">
        <v>45631</v>
      </c>
      <c r="E285" t="inlineStr">
        <is>
          <t>Yes</t>
        </is>
      </c>
      <c r="F285" t="n">
        <v>15</v>
      </c>
      <c r="G285" t="inlineStr">
        <is>
          <t>Quarterly</t>
        </is>
      </c>
      <c r="H285" t="inlineStr">
        <is>
          <t>Yes</t>
        </is>
      </c>
      <c r="I285" t="n">
        <v>30</v>
      </c>
      <c r="J285" t="inlineStr">
        <is>
          <t>Yes</t>
        </is>
      </c>
      <c r="K285" t="n">
        <v>20</v>
      </c>
      <c r="L285" t="n">
        <v>7</v>
      </c>
      <c r="M285" t="n">
        <v>58</v>
      </c>
    </row>
    <row r="286">
      <c r="A286" t="n">
        <v>3515</v>
      </c>
      <c r="B286" t="inlineStr">
        <is>
          <t>Ursula Silva</t>
        </is>
      </c>
      <c r="C286" t="inlineStr">
        <is>
          <t>Standard</t>
        </is>
      </c>
      <c r="D286" s="21" t="n">
        <v>45632</v>
      </c>
      <c r="E286" t="inlineStr">
        <is>
          <t>No</t>
        </is>
      </c>
      <c r="F286" t="n">
        <v>10</v>
      </c>
      <c r="G286" t="inlineStr">
        <is>
          <t>Monthly</t>
        </is>
      </c>
      <c r="H286" t="inlineStr">
        <is>
          <t>No</t>
        </is>
      </c>
      <c r="I286" t="inlineStr">
        <is>
          <t>-</t>
        </is>
      </c>
      <c r="J286" t="inlineStr">
        <is>
          <t>Yes</t>
        </is>
      </c>
      <c r="K286" t="n">
        <v>20</v>
      </c>
      <c r="L286" t="n">
        <v>10</v>
      </c>
      <c r="M286" t="n">
        <v>20</v>
      </c>
    </row>
    <row r="287">
      <c r="A287" t="n">
        <v>3516</v>
      </c>
      <c r="B287" t="inlineStr">
        <is>
          <t>Vanessa Moraes</t>
        </is>
      </c>
      <c r="C287" t="inlineStr">
        <is>
          <t>Core</t>
        </is>
      </c>
      <c r="D287" s="21" t="n">
        <v>45633</v>
      </c>
      <c r="E287" t="inlineStr">
        <is>
          <t>Yes</t>
        </is>
      </c>
      <c r="F287" t="n">
        <v>5</v>
      </c>
      <c r="G287" t="inlineStr">
        <is>
          <t>Annual</t>
        </is>
      </c>
      <c r="H287" t="inlineStr">
        <is>
          <t>No</t>
        </is>
      </c>
      <c r="I287" t="inlineStr">
        <is>
          <t>-</t>
        </is>
      </c>
      <c r="J287" t="inlineStr">
        <is>
          <t>No</t>
        </is>
      </c>
      <c r="K287" t="n">
        <v>0</v>
      </c>
      <c r="L287" t="n">
        <v>0</v>
      </c>
      <c r="M287" t="n">
        <v>5</v>
      </c>
    </row>
    <row r="288">
      <c r="A288" t="n">
        <v>3517</v>
      </c>
      <c r="B288" t="inlineStr">
        <is>
          <t>William Carvalho</t>
        </is>
      </c>
      <c r="C288" t="inlineStr">
        <is>
          <t>Ultimate</t>
        </is>
      </c>
      <c r="D288" s="21" t="n">
        <v>45634</v>
      </c>
      <c r="E288" t="inlineStr">
        <is>
          <t>No</t>
        </is>
      </c>
      <c r="F288" t="n">
        <v>15</v>
      </c>
      <c r="G288" t="inlineStr">
        <is>
          <t>Monthly</t>
        </is>
      </c>
      <c r="H288" t="inlineStr">
        <is>
          <t>Yes</t>
        </is>
      </c>
      <c r="I288" t="n">
        <v>30</v>
      </c>
      <c r="J288" t="inlineStr">
        <is>
          <t>Yes</t>
        </is>
      </c>
      <c r="K288" t="n">
        <v>20</v>
      </c>
      <c r="L288" t="n">
        <v>20</v>
      </c>
      <c r="M288" t="n">
        <v>45</v>
      </c>
    </row>
    <row r="289">
      <c r="A289" t="n">
        <v>3518</v>
      </c>
      <c r="B289" t="inlineStr">
        <is>
          <t>Xavier Reis</t>
        </is>
      </c>
      <c r="C289" t="inlineStr">
        <is>
          <t>Standard</t>
        </is>
      </c>
      <c r="D289" s="21" t="n">
        <v>45635</v>
      </c>
      <c r="E289" t="inlineStr">
        <is>
          <t>Yes</t>
        </is>
      </c>
      <c r="F289" t="n">
        <v>10</v>
      </c>
      <c r="G289" t="inlineStr">
        <is>
          <t>Quarterly</t>
        </is>
      </c>
      <c r="H289" t="inlineStr">
        <is>
          <t>No</t>
        </is>
      </c>
      <c r="I289" t="inlineStr">
        <is>
          <t>-</t>
        </is>
      </c>
      <c r="J289" t="inlineStr">
        <is>
          <t>Yes</t>
        </is>
      </c>
      <c r="K289" t="n">
        <v>20</v>
      </c>
      <c r="L289" t="n">
        <v>12</v>
      </c>
      <c r="M289" t="n">
        <v>18</v>
      </c>
    </row>
    <row r="290">
      <c r="A290" t="n">
        <v>3519</v>
      </c>
      <c r="B290" t="inlineStr">
        <is>
          <t>Yasmin Rocha</t>
        </is>
      </c>
      <c r="C290" t="inlineStr">
        <is>
          <t>Core</t>
        </is>
      </c>
      <c r="D290" s="21" t="n">
        <v>45636</v>
      </c>
      <c r="E290" t="inlineStr">
        <is>
          <t>No</t>
        </is>
      </c>
      <c r="F290" t="n">
        <v>5</v>
      </c>
      <c r="G290" t="inlineStr">
        <is>
          <t>Monthly</t>
        </is>
      </c>
      <c r="H290" t="inlineStr">
        <is>
          <t>No</t>
        </is>
      </c>
      <c r="I290" t="inlineStr">
        <is>
          <t>-</t>
        </is>
      </c>
      <c r="J290" t="inlineStr">
        <is>
          <t>No</t>
        </is>
      </c>
      <c r="K290" t="n">
        <v>0</v>
      </c>
      <c r="L290" t="n">
        <v>2</v>
      </c>
      <c r="M290" t="n">
        <v>3</v>
      </c>
    </row>
    <row r="291">
      <c r="A291" t="n">
        <v>3520</v>
      </c>
      <c r="B291" t="inlineStr">
        <is>
          <t>Zacarias Duarte</t>
        </is>
      </c>
      <c r="C291" t="inlineStr">
        <is>
          <t>Ultimate</t>
        </is>
      </c>
      <c r="D291" s="21" t="n">
        <v>45637</v>
      </c>
      <c r="E291" t="inlineStr">
        <is>
          <t>Yes</t>
        </is>
      </c>
      <c r="F291" t="n">
        <v>15</v>
      </c>
      <c r="G291" t="inlineStr">
        <is>
          <t>Annual</t>
        </is>
      </c>
      <c r="H291" t="inlineStr">
        <is>
          <t>Yes</t>
        </is>
      </c>
      <c r="I291" t="n">
        <v>30</v>
      </c>
      <c r="J291" t="inlineStr">
        <is>
          <t>Yes</t>
        </is>
      </c>
      <c r="K291" t="n">
        <v>20</v>
      </c>
      <c r="L291" t="n">
        <v>5</v>
      </c>
      <c r="M291" t="n">
        <v>60</v>
      </c>
    </row>
    <row r="292">
      <c r="A292" t="n">
        <v>3521</v>
      </c>
      <c r="B292" t="inlineStr">
        <is>
          <t>Amanda Freitas</t>
        </is>
      </c>
      <c r="C292" t="inlineStr">
        <is>
          <t>Standard</t>
        </is>
      </c>
      <c r="D292" s="21" t="n">
        <v>45638</v>
      </c>
      <c r="E292" t="inlineStr">
        <is>
          <t>No</t>
        </is>
      </c>
      <c r="F292" t="n">
        <v>10</v>
      </c>
      <c r="G292" t="inlineStr">
        <is>
          <t>Monthly</t>
        </is>
      </c>
      <c r="H292" t="inlineStr">
        <is>
          <t>No</t>
        </is>
      </c>
      <c r="I292" t="inlineStr">
        <is>
          <t>-</t>
        </is>
      </c>
      <c r="J292" t="inlineStr">
        <is>
          <t>Yes</t>
        </is>
      </c>
      <c r="K292" t="n">
        <v>20</v>
      </c>
      <c r="L292" t="n">
        <v>10</v>
      </c>
      <c r="M292" t="n">
        <v>20</v>
      </c>
    </row>
    <row r="293">
      <c r="A293" t="n">
        <v>3522</v>
      </c>
      <c r="B293" t="inlineStr">
        <is>
          <t>Bruno Almeida</t>
        </is>
      </c>
      <c r="C293" t="inlineStr">
        <is>
          <t>Core</t>
        </is>
      </c>
      <c r="D293" s="21" t="n">
        <v>45639</v>
      </c>
      <c r="E293" t="inlineStr">
        <is>
          <t>Yes</t>
        </is>
      </c>
      <c r="F293" t="n">
        <v>5</v>
      </c>
      <c r="G293" t="inlineStr">
        <is>
          <t>Quarterly</t>
        </is>
      </c>
      <c r="H293" t="inlineStr">
        <is>
          <t>No</t>
        </is>
      </c>
      <c r="I293" t="inlineStr">
        <is>
          <t>-</t>
        </is>
      </c>
      <c r="J293" t="inlineStr">
        <is>
          <t>No</t>
        </is>
      </c>
      <c r="K293" t="n">
        <v>0</v>
      </c>
      <c r="L293" t="n">
        <v>0</v>
      </c>
      <c r="M293" t="n">
        <v>5</v>
      </c>
    </row>
    <row r="294">
      <c r="A294" t="n">
        <v>3523</v>
      </c>
      <c r="B294" t="inlineStr">
        <is>
          <t>Carla Siqueira</t>
        </is>
      </c>
      <c r="C294" t="inlineStr">
        <is>
          <t>Ultimate</t>
        </is>
      </c>
      <c r="D294" s="21" t="n">
        <v>45640</v>
      </c>
      <c r="E294" t="inlineStr">
        <is>
          <t>No</t>
        </is>
      </c>
      <c r="F294" t="n">
        <v>15</v>
      </c>
      <c r="G294" t="inlineStr">
        <is>
          <t>Monthly</t>
        </is>
      </c>
      <c r="H294" t="inlineStr">
        <is>
          <t>Yes</t>
        </is>
      </c>
      <c r="I294" t="n">
        <v>30</v>
      </c>
      <c r="J294" t="inlineStr">
        <is>
          <t>Yes</t>
        </is>
      </c>
      <c r="K294" t="n">
        <v>20</v>
      </c>
      <c r="L294" t="n">
        <v>3</v>
      </c>
      <c r="M294" t="n">
        <v>62</v>
      </c>
    </row>
    <row r="295">
      <c r="A295" t="n">
        <v>3524</v>
      </c>
      <c r="B295" t="inlineStr">
        <is>
          <t>Diogo Ramos</t>
        </is>
      </c>
      <c r="C295" t="inlineStr">
        <is>
          <t>Standard</t>
        </is>
      </c>
      <c r="D295" s="21" t="n">
        <v>45641</v>
      </c>
      <c r="E295" t="inlineStr">
        <is>
          <t>Yes</t>
        </is>
      </c>
      <c r="F295" t="n">
        <v>10</v>
      </c>
      <c r="G295" t="inlineStr">
        <is>
          <t>Annual</t>
        </is>
      </c>
      <c r="H295" t="inlineStr">
        <is>
          <t>No</t>
        </is>
      </c>
      <c r="I295" t="inlineStr">
        <is>
          <t>-</t>
        </is>
      </c>
      <c r="J295" t="inlineStr">
        <is>
          <t>Yes</t>
        </is>
      </c>
      <c r="K295" t="n">
        <v>20</v>
      </c>
      <c r="L295" t="n">
        <v>15</v>
      </c>
      <c r="M295" t="n">
        <v>15</v>
      </c>
    </row>
    <row r="296">
      <c r="A296" t="n">
        <v>3525</v>
      </c>
      <c r="B296" t="inlineStr">
        <is>
          <t>Elisa Magalhães</t>
        </is>
      </c>
      <c r="C296" t="inlineStr">
        <is>
          <t>Core</t>
        </is>
      </c>
      <c r="D296" s="21" t="n">
        <v>45642</v>
      </c>
      <c r="E296" t="inlineStr">
        <is>
          <t>No</t>
        </is>
      </c>
      <c r="F296" t="n">
        <v>5</v>
      </c>
      <c r="G296" t="inlineStr">
        <is>
          <t>Monthly</t>
        </is>
      </c>
      <c r="H296" t="inlineStr">
        <is>
          <t>No</t>
        </is>
      </c>
      <c r="I296" t="inlineStr">
        <is>
          <t>-</t>
        </is>
      </c>
      <c r="J296" t="inlineStr">
        <is>
          <t>No</t>
        </is>
      </c>
      <c r="K296" t="n">
        <v>0</v>
      </c>
      <c r="L296" t="n">
        <v>1</v>
      </c>
      <c r="M296" t="n">
        <v>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2026-10-19T00:11:03Z</dcterms:created>
  <dcterms:modified xmlns:dcterms="http://purl.org/dc/terms/" xmlns:xsi="http://www.w3.org/2001/XMLSchema-instance" xsi:type="dcterms:W3CDTF">2026-10-19T00:11:03Z</dcterms:modified>
</cp:coreProperties>
</file>